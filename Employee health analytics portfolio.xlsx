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ownloads\EXCEL PRACTICE\"/>
    </mc:Choice>
  </mc:AlternateContent>
  <xr:revisionPtr revIDLastSave="0" documentId="13_ncr:1_{55F59305-C8EA-49D3-A971-7BF3D930F06E}" xr6:coauthVersionLast="47" xr6:coauthVersionMax="47" xr10:uidLastSave="{00000000-0000-0000-0000-000000000000}"/>
  <bookViews>
    <workbookView xWindow="-110" yWindow="-110" windowWidth="19420" windowHeight="10300" tabRatio="500" activeTab="3" xr2:uid="{00000000-000D-0000-FFFF-FFFF00000000}"/>
  </bookViews>
  <sheets>
    <sheet name="Raw_Health_Data" sheetId="1" r:id="rId1"/>
    <sheet name="cleaned data" sheetId="5" r:id="rId2"/>
    <sheet name="PIVOT TABLE" sheetId="9" r:id="rId3"/>
    <sheet name="DASHBOARD" sheetId="12" r:id="rId4"/>
  </sheets>
  <definedNames>
    <definedName name="_xlnm._FilterDatabase" localSheetId="0" hidden="1">Raw_Health_Data!$A$1:$T$301</definedName>
    <definedName name="ExternalData_1" localSheetId="1" hidden="1">'cleaned data'!$A$1:$T$301</definedName>
    <definedName name="Slicer_Age_group">#N/A</definedName>
    <definedName name="Slicer_Gender1">#N/A</definedName>
    <definedName name="Slicer_State">#N/A</definedName>
  </definedNames>
  <calcPr calcId="181029" iterateDelta="1E-4"/>
  <pivotCaches>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E26" i="9" l="1"/>
  <c r="BQ13" i="9"/>
  <c r="AB2" i="5"/>
  <c r="AB3" i="5"/>
  <c r="AB4" i="5"/>
  <c r="AB5" i="5"/>
  <c r="AB6" i="5"/>
  <c r="AB7" i="5"/>
  <c r="AB8" i="5"/>
  <c r="AB9" i="5"/>
  <c r="AB10" i="5"/>
  <c r="AB11" i="5"/>
  <c r="AB12" i="5"/>
  <c r="AB13" i="5"/>
  <c r="AB14" i="5"/>
  <c r="AB15" i="5"/>
  <c r="AB16" i="5"/>
  <c r="AB17" i="5"/>
  <c r="AB18" i="5"/>
  <c r="AB19" i="5"/>
  <c r="AB20" i="5"/>
  <c r="AB21" i="5"/>
  <c r="AB22" i="5"/>
  <c r="AB23" i="5"/>
  <c r="AB24" i="5"/>
  <c r="AB25" i="5"/>
  <c r="AB26" i="5"/>
  <c r="AB27" i="5"/>
  <c r="AB28" i="5"/>
  <c r="AB29" i="5"/>
  <c r="AB30" i="5"/>
  <c r="AB31" i="5"/>
  <c r="AB32" i="5"/>
  <c r="AB33" i="5"/>
  <c r="AB34" i="5"/>
  <c r="AB35" i="5"/>
  <c r="AB36" i="5"/>
  <c r="AB37" i="5"/>
  <c r="AB38" i="5"/>
  <c r="AB39" i="5"/>
  <c r="AB40" i="5"/>
  <c r="AB41" i="5"/>
  <c r="AB42" i="5"/>
  <c r="AB43" i="5"/>
  <c r="AB44" i="5"/>
  <c r="AB45" i="5"/>
  <c r="AB46" i="5"/>
  <c r="AB47" i="5"/>
  <c r="AB48" i="5"/>
  <c r="AB49" i="5"/>
  <c r="AB50" i="5"/>
  <c r="AB51" i="5"/>
  <c r="AB52" i="5"/>
  <c r="AB53" i="5"/>
  <c r="AB54" i="5"/>
  <c r="AB55" i="5"/>
  <c r="AB56" i="5"/>
  <c r="AB57" i="5"/>
  <c r="AB58" i="5"/>
  <c r="AB59" i="5"/>
  <c r="AB60" i="5"/>
  <c r="AB61" i="5"/>
  <c r="AB62" i="5"/>
  <c r="AB63" i="5"/>
  <c r="AB64" i="5"/>
  <c r="AB65" i="5"/>
  <c r="AB66" i="5"/>
  <c r="AB67" i="5"/>
  <c r="AB68" i="5"/>
  <c r="AB69" i="5"/>
  <c r="AB70" i="5"/>
  <c r="AB71" i="5"/>
  <c r="AB72" i="5"/>
  <c r="AB73" i="5"/>
  <c r="AB74" i="5"/>
  <c r="AB75" i="5"/>
  <c r="AB76" i="5"/>
  <c r="AB77" i="5"/>
  <c r="AB78" i="5"/>
  <c r="AB79" i="5"/>
  <c r="AB80" i="5"/>
  <c r="AB81" i="5"/>
  <c r="AB82" i="5"/>
  <c r="AB83" i="5"/>
  <c r="AB84" i="5"/>
  <c r="AB85" i="5"/>
  <c r="AB86" i="5"/>
  <c r="AB87" i="5"/>
  <c r="AB88" i="5"/>
  <c r="AB89" i="5"/>
  <c r="AB90" i="5"/>
  <c r="AB91" i="5"/>
  <c r="AB92" i="5"/>
  <c r="AB93" i="5"/>
  <c r="AB94" i="5"/>
  <c r="AB95" i="5"/>
  <c r="AB96" i="5"/>
  <c r="AB97" i="5"/>
  <c r="AB98" i="5"/>
  <c r="AB99" i="5"/>
  <c r="AB100" i="5"/>
  <c r="AB101" i="5"/>
  <c r="AB102" i="5"/>
  <c r="AB103" i="5"/>
  <c r="AB104" i="5"/>
  <c r="AB105" i="5"/>
  <c r="AB106" i="5"/>
  <c r="AB107" i="5"/>
  <c r="AB108" i="5"/>
  <c r="AB109" i="5"/>
  <c r="AB110" i="5"/>
  <c r="AB111" i="5"/>
  <c r="AB112" i="5"/>
  <c r="AB113" i="5"/>
  <c r="AB114" i="5"/>
  <c r="AB115" i="5"/>
  <c r="AB116" i="5"/>
  <c r="AB117" i="5"/>
  <c r="AB118" i="5"/>
  <c r="AB119" i="5"/>
  <c r="AB120" i="5"/>
  <c r="AB121" i="5"/>
  <c r="AB122" i="5"/>
  <c r="AB123" i="5"/>
  <c r="AB124" i="5"/>
  <c r="AB125" i="5"/>
  <c r="AB126" i="5"/>
  <c r="AB127" i="5"/>
  <c r="AB128" i="5"/>
  <c r="AB129" i="5"/>
  <c r="AB130" i="5"/>
  <c r="AB131" i="5"/>
  <c r="AB132" i="5"/>
  <c r="AB133" i="5"/>
  <c r="AB134" i="5"/>
  <c r="AB135" i="5"/>
  <c r="AB136" i="5"/>
  <c r="AB137" i="5"/>
  <c r="AB138" i="5"/>
  <c r="AB139" i="5"/>
  <c r="AB140" i="5"/>
  <c r="AB141" i="5"/>
  <c r="AB142" i="5"/>
  <c r="AB143" i="5"/>
  <c r="AB144" i="5"/>
  <c r="AB145" i="5"/>
  <c r="AB146" i="5"/>
  <c r="AB147" i="5"/>
  <c r="AB148" i="5"/>
  <c r="AB149" i="5"/>
  <c r="AB150" i="5"/>
  <c r="AB151" i="5"/>
  <c r="AB152" i="5"/>
  <c r="AB153" i="5"/>
  <c r="AB154" i="5"/>
  <c r="AB155" i="5"/>
  <c r="AB156" i="5"/>
  <c r="AB157" i="5"/>
  <c r="AB158" i="5"/>
  <c r="AB159" i="5"/>
  <c r="AB160" i="5"/>
  <c r="AB161" i="5"/>
  <c r="AB162" i="5"/>
  <c r="AB163" i="5"/>
  <c r="AB164" i="5"/>
  <c r="AB165" i="5"/>
  <c r="AB166" i="5"/>
  <c r="AB167" i="5"/>
  <c r="AB168" i="5"/>
  <c r="AB169" i="5"/>
  <c r="AB170" i="5"/>
  <c r="AB171" i="5"/>
  <c r="AB172" i="5"/>
  <c r="AB173" i="5"/>
  <c r="AB174" i="5"/>
  <c r="AB175" i="5"/>
  <c r="AB176" i="5"/>
  <c r="AB177" i="5"/>
  <c r="AB178" i="5"/>
  <c r="AB179" i="5"/>
  <c r="AB180" i="5"/>
  <c r="AB181" i="5"/>
  <c r="AB182" i="5"/>
  <c r="AB183" i="5"/>
  <c r="AB184" i="5"/>
  <c r="AB185" i="5"/>
  <c r="AB186" i="5"/>
  <c r="AB187" i="5"/>
  <c r="AB188" i="5"/>
  <c r="AB189" i="5"/>
  <c r="AB190" i="5"/>
  <c r="AB191" i="5"/>
  <c r="AB192" i="5"/>
  <c r="AB193" i="5"/>
  <c r="AB194" i="5"/>
  <c r="AB195" i="5"/>
  <c r="AB196" i="5"/>
  <c r="AB197" i="5"/>
  <c r="AB198" i="5"/>
  <c r="AB199" i="5"/>
  <c r="AB200" i="5"/>
  <c r="AB201" i="5"/>
  <c r="AB202" i="5"/>
  <c r="AB203" i="5"/>
  <c r="AB204" i="5"/>
  <c r="AB205" i="5"/>
  <c r="AB206" i="5"/>
  <c r="AB207" i="5"/>
  <c r="AB208" i="5"/>
  <c r="AB209" i="5"/>
  <c r="AB210" i="5"/>
  <c r="AB211" i="5"/>
  <c r="AB212" i="5"/>
  <c r="AB213" i="5"/>
  <c r="AB214" i="5"/>
  <c r="AB215" i="5"/>
  <c r="AB216" i="5"/>
  <c r="AB217" i="5"/>
  <c r="AB218" i="5"/>
  <c r="AB219" i="5"/>
  <c r="AB220" i="5"/>
  <c r="AB221" i="5"/>
  <c r="AB222" i="5"/>
  <c r="AB223" i="5"/>
  <c r="AB224" i="5"/>
  <c r="AB225" i="5"/>
  <c r="AB226" i="5"/>
  <c r="AB227" i="5"/>
  <c r="AB228" i="5"/>
  <c r="AB229" i="5"/>
  <c r="AB230" i="5"/>
  <c r="AB231" i="5"/>
  <c r="AB232" i="5"/>
  <c r="AB233" i="5"/>
  <c r="AB234" i="5"/>
  <c r="AB235" i="5"/>
  <c r="AB236" i="5"/>
  <c r="AB237" i="5"/>
  <c r="AB238" i="5"/>
  <c r="AB239" i="5"/>
  <c r="AB240" i="5"/>
  <c r="AB241" i="5"/>
  <c r="AB242" i="5"/>
  <c r="AB243" i="5"/>
  <c r="AB244" i="5"/>
  <c r="AB245" i="5"/>
  <c r="AB246" i="5"/>
  <c r="AB247" i="5"/>
  <c r="AB248" i="5"/>
  <c r="AB249" i="5"/>
  <c r="AB250" i="5"/>
  <c r="AB251" i="5"/>
  <c r="AB252" i="5"/>
  <c r="AB253" i="5"/>
  <c r="AB254" i="5"/>
  <c r="AB255" i="5"/>
  <c r="AB256" i="5"/>
  <c r="AB257" i="5"/>
  <c r="AB258" i="5"/>
  <c r="AB259" i="5"/>
  <c r="AB260" i="5"/>
  <c r="AB261" i="5"/>
  <c r="AB262" i="5"/>
  <c r="AB263" i="5"/>
  <c r="AB264" i="5"/>
  <c r="AB265" i="5"/>
  <c r="AB266" i="5"/>
  <c r="AB267" i="5"/>
  <c r="AB268" i="5"/>
  <c r="AB269" i="5"/>
  <c r="AB270" i="5"/>
  <c r="AB271" i="5"/>
  <c r="AB272" i="5"/>
  <c r="AB273" i="5"/>
  <c r="AB274" i="5"/>
  <c r="AB275" i="5"/>
  <c r="AB276" i="5"/>
  <c r="AB277" i="5"/>
  <c r="AB278" i="5"/>
  <c r="AB279" i="5"/>
  <c r="AB280" i="5"/>
  <c r="AB281" i="5"/>
  <c r="AB282" i="5"/>
  <c r="AB283" i="5"/>
  <c r="AB284" i="5"/>
  <c r="AB285" i="5"/>
  <c r="AB286" i="5"/>
  <c r="AB287" i="5"/>
  <c r="AB288" i="5"/>
  <c r="AB289" i="5"/>
  <c r="AB290" i="5"/>
  <c r="AB291" i="5"/>
  <c r="AB292" i="5"/>
  <c r="AB293" i="5"/>
  <c r="AB294" i="5"/>
  <c r="AB295" i="5"/>
  <c r="AB296" i="5"/>
  <c r="AB297" i="5"/>
  <c r="AB298" i="5"/>
  <c r="AB299" i="5"/>
  <c r="AB300" i="5"/>
  <c r="AB301" i="5"/>
  <c r="AA2" i="5"/>
  <c r="AA3" i="5"/>
  <c r="AA4" i="5"/>
  <c r="AA5" i="5"/>
  <c r="AA6" i="5"/>
  <c r="AA7" i="5"/>
  <c r="AA8" i="5"/>
  <c r="AA9" i="5"/>
  <c r="AA10" i="5"/>
  <c r="AA11" i="5"/>
  <c r="AA12" i="5"/>
  <c r="AA13" i="5"/>
  <c r="AA14" i="5"/>
  <c r="AA15" i="5"/>
  <c r="AA16" i="5"/>
  <c r="AA17" i="5"/>
  <c r="AA18" i="5"/>
  <c r="AA19" i="5"/>
  <c r="AA20" i="5"/>
  <c r="AA21" i="5"/>
  <c r="AA22" i="5"/>
  <c r="AA23" i="5"/>
  <c r="AA24" i="5"/>
  <c r="AA25" i="5"/>
  <c r="AA26" i="5"/>
  <c r="AA27" i="5"/>
  <c r="AA28" i="5"/>
  <c r="AA29" i="5"/>
  <c r="AA30" i="5"/>
  <c r="AA31" i="5"/>
  <c r="AA32" i="5"/>
  <c r="AA33" i="5"/>
  <c r="AA34" i="5"/>
  <c r="AA35" i="5"/>
  <c r="AA36" i="5"/>
  <c r="AA37" i="5"/>
  <c r="AA38" i="5"/>
  <c r="AA39" i="5"/>
  <c r="AA40" i="5"/>
  <c r="AA41" i="5"/>
  <c r="AA42" i="5"/>
  <c r="AA43" i="5"/>
  <c r="AA44" i="5"/>
  <c r="AA45" i="5"/>
  <c r="AA46" i="5"/>
  <c r="AA47" i="5"/>
  <c r="AA48" i="5"/>
  <c r="AA49" i="5"/>
  <c r="AA50" i="5"/>
  <c r="AA51" i="5"/>
  <c r="AA52" i="5"/>
  <c r="AA53" i="5"/>
  <c r="AA54" i="5"/>
  <c r="AA55" i="5"/>
  <c r="AA56" i="5"/>
  <c r="AA57" i="5"/>
  <c r="AA58" i="5"/>
  <c r="AA59" i="5"/>
  <c r="AA60" i="5"/>
  <c r="AA61" i="5"/>
  <c r="AA62" i="5"/>
  <c r="AA63" i="5"/>
  <c r="AA64" i="5"/>
  <c r="AA65" i="5"/>
  <c r="AA66" i="5"/>
  <c r="AA67" i="5"/>
  <c r="AA68" i="5"/>
  <c r="AA69" i="5"/>
  <c r="AA70" i="5"/>
  <c r="AA71" i="5"/>
  <c r="AA72" i="5"/>
  <c r="AA73" i="5"/>
  <c r="AA74" i="5"/>
  <c r="AA75" i="5"/>
  <c r="AA76" i="5"/>
  <c r="AA77" i="5"/>
  <c r="AA78" i="5"/>
  <c r="AA79" i="5"/>
  <c r="AA80" i="5"/>
  <c r="AA81" i="5"/>
  <c r="AA82" i="5"/>
  <c r="AA83" i="5"/>
  <c r="AA84" i="5"/>
  <c r="AA85" i="5"/>
  <c r="AA86" i="5"/>
  <c r="AA87" i="5"/>
  <c r="AA88" i="5"/>
  <c r="AA89" i="5"/>
  <c r="AA90" i="5"/>
  <c r="AA91" i="5"/>
  <c r="AA92" i="5"/>
  <c r="AA93" i="5"/>
  <c r="AA94" i="5"/>
  <c r="AA95" i="5"/>
  <c r="AA96" i="5"/>
  <c r="AA97" i="5"/>
  <c r="AA98" i="5"/>
  <c r="AA99" i="5"/>
  <c r="AA100" i="5"/>
  <c r="AA101" i="5"/>
  <c r="AA102" i="5"/>
  <c r="AA103" i="5"/>
  <c r="AA104" i="5"/>
  <c r="AA105" i="5"/>
  <c r="AA106" i="5"/>
  <c r="AA107" i="5"/>
  <c r="AA108" i="5"/>
  <c r="AA109" i="5"/>
  <c r="AA110" i="5"/>
  <c r="AA111" i="5"/>
  <c r="AA112" i="5"/>
  <c r="AA113" i="5"/>
  <c r="AA114" i="5"/>
  <c r="AA115" i="5"/>
  <c r="AA116" i="5"/>
  <c r="AA117" i="5"/>
  <c r="AA118" i="5"/>
  <c r="AA119" i="5"/>
  <c r="AA120" i="5"/>
  <c r="AA121" i="5"/>
  <c r="AA122" i="5"/>
  <c r="AA123" i="5"/>
  <c r="AA124" i="5"/>
  <c r="AA125" i="5"/>
  <c r="AA126" i="5"/>
  <c r="AA127" i="5"/>
  <c r="AA128" i="5"/>
  <c r="AA129" i="5"/>
  <c r="AA130" i="5"/>
  <c r="AA131" i="5"/>
  <c r="AA132" i="5"/>
  <c r="AA133" i="5"/>
  <c r="AA134" i="5"/>
  <c r="AA135" i="5"/>
  <c r="AA136" i="5"/>
  <c r="AA137" i="5"/>
  <c r="AA138" i="5"/>
  <c r="AA139" i="5"/>
  <c r="AA140" i="5"/>
  <c r="AA141" i="5"/>
  <c r="AA142" i="5"/>
  <c r="AA143" i="5"/>
  <c r="AA144" i="5"/>
  <c r="AA145" i="5"/>
  <c r="AA146" i="5"/>
  <c r="AA147" i="5"/>
  <c r="AA148" i="5"/>
  <c r="AA149" i="5"/>
  <c r="AA150" i="5"/>
  <c r="AA151" i="5"/>
  <c r="AA152" i="5"/>
  <c r="AA153" i="5"/>
  <c r="AA154" i="5"/>
  <c r="AA155" i="5"/>
  <c r="AA156" i="5"/>
  <c r="AA157" i="5"/>
  <c r="AA158" i="5"/>
  <c r="AA159" i="5"/>
  <c r="AA160" i="5"/>
  <c r="AA161" i="5"/>
  <c r="AA162" i="5"/>
  <c r="AA163" i="5"/>
  <c r="AA164" i="5"/>
  <c r="AA165" i="5"/>
  <c r="AA166" i="5"/>
  <c r="AA167" i="5"/>
  <c r="AA168" i="5"/>
  <c r="AA169" i="5"/>
  <c r="AA170" i="5"/>
  <c r="AA171" i="5"/>
  <c r="AA172" i="5"/>
  <c r="AA173" i="5"/>
  <c r="AA174" i="5"/>
  <c r="AA175" i="5"/>
  <c r="AA176" i="5"/>
  <c r="AA177" i="5"/>
  <c r="AA178" i="5"/>
  <c r="AA179" i="5"/>
  <c r="AA180" i="5"/>
  <c r="AA181" i="5"/>
  <c r="AA182" i="5"/>
  <c r="AA183" i="5"/>
  <c r="AA184" i="5"/>
  <c r="AA185" i="5"/>
  <c r="AA186" i="5"/>
  <c r="AA187" i="5"/>
  <c r="AA188" i="5"/>
  <c r="AA189" i="5"/>
  <c r="AA190" i="5"/>
  <c r="AA191" i="5"/>
  <c r="AA192" i="5"/>
  <c r="AA193" i="5"/>
  <c r="AA194" i="5"/>
  <c r="AA195" i="5"/>
  <c r="AA196" i="5"/>
  <c r="AA197" i="5"/>
  <c r="AA198" i="5"/>
  <c r="AA199" i="5"/>
  <c r="AA200" i="5"/>
  <c r="AA201" i="5"/>
  <c r="AA202" i="5"/>
  <c r="AA203" i="5"/>
  <c r="AA204" i="5"/>
  <c r="AA205" i="5"/>
  <c r="AA206" i="5"/>
  <c r="AA207" i="5"/>
  <c r="AA208" i="5"/>
  <c r="AA209" i="5"/>
  <c r="AA210" i="5"/>
  <c r="AA211" i="5"/>
  <c r="AA212" i="5"/>
  <c r="AA213" i="5"/>
  <c r="AA214" i="5"/>
  <c r="AA215" i="5"/>
  <c r="AA216" i="5"/>
  <c r="AA217" i="5"/>
  <c r="AA218" i="5"/>
  <c r="AA219" i="5"/>
  <c r="AA220" i="5"/>
  <c r="AA221" i="5"/>
  <c r="AA222" i="5"/>
  <c r="AA223" i="5"/>
  <c r="AA224" i="5"/>
  <c r="AA225" i="5"/>
  <c r="AA226" i="5"/>
  <c r="AA227" i="5"/>
  <c r="AA228" i="5"/>
  <c r="AA229" i="5"/>
  <c r="AA230" i="5"/>
  <c r="AA231" i="5"/>
  <c r="AA232" i="5"/>
  <c r="AA233" i="5"/>
  <c r="AA234" i="5"/>
  <c r="AA235" i="5"/>
  <c r="AA236" i="5"/>
  <c r="AA237" i="5"/>
  <c r="AA238" i="5"/>
  <c r="AA239" i="5"/>
  <c r="AA240" i="5"/>
  <c r="AA241" i="5"/>
  <c r="AA242" i="5"/>
  <c r="AA243" i="5"/>
  <c r="AA244" i="5"/>
  <c r="AA245" i="5"/>
  <c r="AA246" i="5"/>
  <c r="AA247" i="5"/>
  <c r="AA248" i="5"/>
  <c r="AA249" i="5"/>
  <c r="AA250" i="5"/>
  <c r="AA251" i="5"/>
  <c r="AA252" i="5"/>
  <c r="AA253" i="5"/>
  <c r="AA254" i="5"/>
  <c r="AA255" i="5"/>
  <c r="AA256" i="5"/>
  <c r="AA257" i="5"/>
  <c r="AA258" i="5"/>
  <c r="AA259" i="5"/>
  <c r="AA260" i="5"/>
  <c r="AA261" i="5"/>
  <c r="AA262" i="5"/>
  <c r="AA263" i="5"/>
  <c r="AA264" i="5"/>
  <c r="AA265" i="5"/>
  <c r="AA266" i="5"/>
  <c r="AA267" i="5"/>
  <c r="AA268" i="5"/>
  <c r="AA269" i="5"/>
  <c r="AA270" i="5"/>
  <c r="AA271" i="5"/>
  <c r="AA272" i="5"/>
  <c r="AA273" i="5"/>
  <c r="AA274" i="5"/>
  <c r="AA275" i="5"/>
  <c r="AA276" i="5"/>
  <c r="AA277" i="5"/>
  <c r="AA278" i="5"/>
  <c r="AA279" i="5"/>
  <c r="AA280" i="5"/>
  <c r="AA281" i="5"/>
  <c r="AA282" i="5"/>
  <c r="AA283" i="5"/>
  <c r="AA284" i="5"/>
  <c r="AA285" i="5"/>
  <c r="AA286" i="5"/>
  <c r="AA287" i="5"/>
  <c r="AA288" i="5"/>
  <c r="AA289" i="5"/>
  <c r="AA290" i="5"/>
  <c r="AA291" i="5"/>
  <c r="AA292" i="5"/>
  <c r="AA293" i="5"/>
  <c r="AA294" i="5"/>
  <c r="AA295" i="5"/>
  <c r="AA296" i="5"/>
  <c r="AA297" i="5"/>
  <c r="AA298" i="5"/>
  <c r="AA299" i="5"/>
  <c r="AA300" i="5"/>
  <c r="AA301" i="5"/>
  <c r="Z2" i="5"/>
  <c r="Z3" i="5"/>
  <c r="Z4" i="5"/>
  <c r="Z5" i="5"/>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93" i="5"/>
  <c r="Z94" i="5"/>
  <c r="Z95" i="5"/>
  <c r="Z96" i="5"/>
  <c r="Z97" i="5"/>
  <c r="Z98" i="5"/>
  <c r="Z99" i="5"/>
  <c r="Z100" i="5"/>
  <c r="Z101" i="5"/>
  <c r="Z102" i="5"/>
  <c r="Z103" i="5"/>
  <c r="Z104" i="5"/>
  <c r="Z105" i="5"/>
  <c r="Z106" i="5"/>
  <c r="Z107" i="5"/>
  <c r="Z108" i="5"/>
  <c r="Z109" i="5"/>
  <c r="Z110" i="5"/>
  <c r="Z111" i="5"/>
  <c r="Z112" i="5"/>
  <c r="Z113" i="5"/>
  <c r="Z114" i="5"/>
  <c r="Z115" i="5"/>
  <c r="Z116" i="5"/>
  <c r="Z117" i="5"/>
  <c r="Z118" i="5"/>
  <c r="Z119" i="5"/>
  <c r="Z120" i="5"/>
  <c r="Z121" i="5"/>
  <c r="Z122" i="5"/>
  <c r="Z123" i="5"/>
  <c r="Z124" i="5"/>
  <c r="Z125" i="5"/>
  <c r="Z126" i="5"/>
  <c r="Z127" i="5"/>
  <c r="Z128" i="5"/>
  <c r="Z129" i="5"/>
  <c r="Z130" i="5"/>
  <c r="Z131" i="5"/>
  <c r="Z132" i="5"/>
  <c r="Z133" i="5"/>
  <c r="Z134" i="5"/>
  <c r="Z135" i="5"/>
  <c r="Z136" i="5"/>
  <c r="Z137" i="5"/>
  <c r="Z138" i="5"/>
  <c r="Z139" i="5"/>
  <c r="Z140" i="5"/>
  <c r="Z141" i="5"/>
  <c r="Z142" i="5"/>
  <c r="Z143" i="5"/>
  <c r="Z144" i="5"/>
  <c r="Z145" i="5"/>
  <c r="Z146" i="5"/>
  <c r="Z147" i="5"/>
  <c r="Z148" i="5"/>
  <c r="Z149" i="5"/>
  <c r="Z150" i="5"/>
  <c r="Z151" i="5"/>
  <c r="Z152" i="5"/>
  <c r="Z153" i="5"/>
  <c r="Z154" i="5"/>
  <c r="Z155" i="5"/>
  <c r="Z156" i="5"/>
  <c r="Z157" i="5"/>
  <c r="Z158" i="5"/>
  <c r="Z159" i="5"/>
  <c r="Z160" i="5"/>
  <c r="Z161" i="5"/>
  <c r="Z162" i="5"/>
  <c r="Z163" i="5"/>
  <c r="Z164" i="5"/>
  <c r="Z165" i="5"/>
  <c r="Z166" i="5"/>
  <c r="Z167" i="5"/>
  <c r="Z168" i="5"/>
  <c r="Z169" i="5"/>
  <c r="Z170" i="5"/>
  <c r="Z171" i="5"/>
  <c r="Z172" i="5"/>
  <c r="Z173" i="5"/>
  <c r="Z174" i="5"/>
  <c r="Z175" i="5"/>
  <c r="Z176" i="5"/>
  <c r="Z177" i="5"/>
  <c r="Z178" i="5"/>
  <c r="Z179" i="5"/>
  <c r="Z180" i="5"/>
  <c r="Z181" i="5"/>
  <c r="Z182" i="5"/>
  <c r="Z183" i="5"/>
  <c r="Z184" i="5"/>
  <c r="Z185" i="5"/>
  <c r="Z186" i="5"/>
  <c r="Z187" i="5"/>
  <c r="Z188" i="5"/>
  <c r="Z189" i="5"/>
  <c r="Z190" i="5"/>
  <c r="Z191" i="5"/>
  <c r="Z192" i="5"/>
  <c r="Z193" i="5"/>
  <c r="Z194" i="5"/>
  <c r="Z195" i="5"/>
  <c r="Z196" i="5"/>
  <c r="Z197" i="5"/>
  <c r="Z198" i="5"/>
  <c r="Z199" i="5"/>
  <c r="Z200" i="5"/>
  <c r="Z201" i="5"/>
  <c r="Z202" i="5"/>
  <c r="Z203" i="5"/>
  <c r="Z204" i="5"/>
  <c r="Z205" i="5"/>
  <c r="Z206" i="5"/>
  <c r="Z207" i="5"/>
  <c r="Z208" i="5"/>
  <c r="Z209" i="5"/>
  <c r="Z210" i="5"/>
  <c r="Z211" i="5"/>
  <c r="Z212" i="5"/>
  <c r="Z213" i="5"/>
  <c r="Z214" i="5"/>
  <c r="Z215" i="5"/>
  <c r="Z216" i="5"/>
  <c r="Z217" i="5"/>
  <c r="Z218" i="5"/>
  <c r="Z219" i="5"/>
  <c r="Z220" i="5"/>
  <c r="Z221" i="5"/>
  <c r="Z222" i="5"/>
  <c r="Z223" i="5"/>
  <c r="Z224" i="5"/>
  <c r="Z225" i="5"/>
  <c r="Z226" i="5"/>
  <c r="Z227" i="5"/>
  <c r="Z228" i="5"/>
  <c r="Z229" i="5"/>
  <c r="Z230" i="5"/>
  <c r="Z231" i="5"/>
  <c r="Z232" i="5"/>
  <c r="Z233" i="5"/>
  <c r="Z234" i="5"/>
  <c r="Z235" i="5"/>
  <c r="Z236" i="5"/>
  <c r="Z237" i="5"/>
  <c r="Z238" i="5"/>
  <c r="Z239" i="5"/>
  <c r="Z240" i="5"/>
  <c r="Z241" i="5"/>
  <c r="Z242" i="5"/>
  <c r="Z243" i="5"/>
  <c r="Z244" i="5"/>
  <c r="Z245" i="5"/>
  <c r="Z246" i="5"/>
  <c r="Z247" i="5"/>
  <c r="Z248" i="5"/>
  <c r="Z249" i="5"/>
  <c r="Z250" i="5"/>
  <c r="Z251" i="5"/>
  <c r="Z252" i="5"/>
  <c r="Z253" i="5"/>
  <c r="Z254" i="5"/>
  <c r="Z255" i="5"/>
  <c r="Z256" i="5"/>
  <c r="Z257" i="5"/>
  <c r="Z258" i="5"/>
  <c r="Z259" i="5"/>
  <c r="Z260" i="5"/>
  <c r="Z261" i="5"/>
  <c r="Z262" i="5"/>
  <c r="Z263" i="5"/>
  <c r="Z264" i="5"/>
  <c r="Z265" i="5"/>
  <c r="Z266" i="5"/>
  <c r="Z267" i="5"/>
  <c r="Z268" i="5"/>
  <c r="Z269" i="5"/>
  <c r="Z270" i="5"/>
  <c r="Z271" i="5"/>
  <c r="Z272" i="5"/>
  <c r="Z273" i="5"/>
  <c r="Z274" i="5"/>
  <c r="Z275" i="5"/>
  <c r="Z276" i="5"/>
  <c r="Z277" i="5"/>
  <c r="Z278" i="5"/>
  <c r="Z279" i="5"/>
  <c r="Z280" i="5"/>
  <c r="Z281" i="5"/>
  <c r="Z282" i="5"/>
  <c r="Z283" i="5"/>
  <c r="Z284" i="5"/>
  <c r="Z285" i="5"/>
  <c r="Z286" i="5"/>
  <c r="Z287" i="5"/>
  <c r="Z288" i="5"/>
  <c r="Z289" i="5"/>
  <c r="Z290" i="5"/>
  <c r="Z291" i="5"/>
  <c r="Z292" i="5"/>
  <c r="Z293" i="5"/>
  <c r="Z294" i="5"/>
  <c r="Z295" i="5"/>
  <c r="Z296" i="5"/>
  <c r="Z297" i="5"/>
  <c r="Z298" i="5"/>
  <c r="Z299" i="5"/>
  <c r="Z300" i="5"/>
  <c r="Z301" i="5"/>
  <c r="W2" i="5"/>
  <c r="X2" i="5" s="1"/>
  <c r="W3" i="5"/>
  <c r="X3" i="5" s="1"/>
  <c r="W4" i="5"/>
  <c r="X4" i="5" s="1"/>
  <c r="W5" i="5"/>
  <c r="X5" i="5" s="1"/>
  <c r="W6" i="5"/>
  <c r="X6" i="5" s="1"/>
  <c r="W7" i="5"/>
  <c r="X7" i="5" s="1"/>
  <c r="W8" i="5"/>
  <c r="X8" i="5" s="1"/>
  <c r="W9" i="5"/>
  <c r="X9" i="5" s="1"/>
  <c r="W10" i="5"/>
  <c r="X10" i="5" s="1"/>
  <c r="W11" i="5"/>
  <c r="X11" i="5" s="1"/>
  <c r="W12" i="5"/>
  <c r="X12" i="5" s="1"/>
  <c r="W13" i="5"/>
  <c r="X13" i="5" s="1"/>
  <c r="W14" i="5"/>
  <c r="X14" i="5" s="1"/>
  <c r="W15" i="5"/>
  <c r="X15" i="5" s="1"/>
  <c r="W16" i="5"/>
  <c r="X16" i="5" s="1"/>
  <c r="W17" i="5"/>
  <c r="X17" i="5" s="1"/>
  <c r="W18" i="5"/>
  <c r="X18" i="5" s="1"/>
  <c r="W19" i="5"/>
  <c r="X19" i="5" s="1"/>
  <c r="W20" i="5"/>
  <c r="X20" i="5" s="1"/>
  <c r="W21" i="5"/>
  <c r="X21" i="5" s="1"/>
  <c r="W22" i="5"/>
  <c r="X22" i="5" s="1"/>
  <c r="W23" i="5"/>
  <c r="X23" i="5" s="1"/>
  <c r="W24" i="5"/>
  <c r="X24" i="5" s="1"/>
  <c r="W25" i="5"/>
  <c r="X25" i="5" s="1"/>
  <c r="W26" i="5"/>
  <c r="X26" i="5" s="1"/>
  <c r="W27" i="5"/>
  <c r="X27" i="5" s="1"/>
  <c r="W28" i="5"/>
  <c r="X28" i="5" s="1"/>
  <c r="W29" i="5"/>
  <c r="X29" i="5" s="1"/>
  <c r="W30" i="5"/>
  <c r="X30" i="5" s="1"/>
  <c r="W31" i="5"/>
  <c r="X31" i="5" s="1"/>
  <c r="W32" i="5"/>
  <c r="X32" i="5" s="1"/>
  <c r="W33" i="5"/>
  <c r="X33" i="5" s="1"/>
  <c r="W34" i="5"/>
  <c r="X34" i="5" s="1"/>
  <c r="W35" i="5"/>
  <c r="X35" i="5" s="1"/>
  <c r="W36" i="5"/>
  <c r="X36" i="5" s="1"/>
  <c r="W37" i="5"/>
  <c r="X37" i="5" s="1"/>
  <c r="W38" i="5"/>
  <c r="X38" i="5" s="1"/>
  <c r="W39" i="5"/>
  <c r="X39" i="5" s="1"/>
  <c r="W40" i="5"/>
  <c r="X40" i="5" s="1"/>
  <c r="W41" i="5"/>
  <c r="X41" i="5" s="1"/>
  <c r="W42" i="5"/>
  <c r="X42" i="5" s="1"/>
  <c r="W43" i="5"/>
  <c r="X43" i="5" s="1"/>
  <c r="W44" i="5"/>
  <c r="X44" i="5" s="1"/>
  <c r="W45" i="5"/>
  <c r="X45" i="5" s="1"/>
  <c r="W46" i="5"/>
  <c r="X46" i="5" s="1"/>
  <c r="W47" i="5"/>
  <c r="X47" i="5" s="1"/>
  <c r="W48" i="5"/>
  <c r="X48" i="5" s="1"/>
  <c r="W49" i="5"/>
  <c r="X49" i="5" s="1"/>
  <c r="W50" i="5"/>
  <c r="X50" i="5" s="1"/>
  <c r="W51" i="5"/>
  <c r="X51" i="5" s="1"/>
  <c r="W52" i="5"/>
  <c r="X52" i="5" s="1"/>
  <c r="W53" i="5"/>
  <c r="X53" i="5" s="1"/>
  <c r="W54" i="5"/>
  <c r="X54" i="5" s="1"/>
  <c r="W55" i="5"/>
  <c r="X55" i="5" s="1"/>
  <c r="W56" i="5"/>
  <c r="X56" i="5" s="1"/>
  <c r="W57" i="5"/>
  <c r="X57" i="5" s="1"/>
  <c r="W58" i="5"/>
  <c r="X58" i="5" s="1"/>
  <c r="W59" i="5"/>
  <c r="X59" i="5" s="1"/>
  <c r="W60" i="5"/>
  <c r="X60" i="5" s="1"/>
  <c r="W61" i="5"/>
  <c r="X61" i="5" s="1"/>
  <c r="W62" i="5"/>
  <c r="X62" i="5" s="1"/>
  <c r="W63" i="5"/>
  <c r="X63" i="5" s="1"/>
  <c r="W64" i="5"/>
  <c r="X64" i="5" s="1"/>
  <c r="W65" i="5"/>
  <c r="X65" i="5" s="1"/>
  <c r="W66" i="5"/>
  <c r="X66" i="5" s="1"/>
  <c r="W67" i="5"/>
  <c r="X67" i="5" s="1"/>
  <c r="W68" i="5"/>
  <c r="X68" i="5" s="1"/>
  <c r="W69" i="5"/>
  <c r="X69" i="5" s="1"/>
  <c r="W70" i="5"/>
  <c r="X70" i="5" s="1"/>
  <c r="W71" i="5"/>
  <c r="X71" i="5" s="1"/>
  <c r="W72" i="5"/>
  <c r="X72" i="5" s="1"/>
  <c r="W73" i="5"/>
  <c r="X73" i="5" s="1"/>
  <c r="W74" i="5"/>
  <c r="X74" i="5" s="1"/>
  <c r="W75" i="5"/>
  <c r="X75" i="5" s="1"/>
  <c r="W76" i="5"/>
  <c r="X76" i="5" s="1"/>
  <c r="W77" i="5"/>
  <c r="X77" i="5" s="1"/>
  <c r="W78" i="5"/>
  <c r="X78" i="5" s="1"/>
  <c r="W79" i="5"/>
  <c r="X79" i="5" s="1"/>
  <c r="W80" i="5"/>
  <c r="X80" i="5" s="1"/>
  <c r="W81" i="5"/>
  <c r="X81" i="5" s="1"/>
  <c r="W82" i="5"/>
  <c r="X82" i="5" s="1"/>
  <c r="W83" i="5"/>
  <c r="X83" i="5" s="1"/>
  <c r="W84" i="5"/>
  <c r="X84" i="5" s="1"/>
  <c r="W85" i="5"/>
  <c r="X85" i="5" s="1"/>
  <c r="W86" i="5"/>
  <c r="X86" i="5" s="1"/>
  <c r="W87" i="5"/>
  <c r="X87" i="5" s="1"/>
  <c r="W88" i="5"/>
  <c r="X88" i="5" s="1"/>
  <c r="W89" i="5"/>
  <c r="X89" i="5" s="1"/>
  <c r="W90" i="5"/>
  <c r="X90" i="5" s="1"/>
  <c r="W91" i="5"/>
  <c r="X91" i="5" s="1"/>
  <c r="W92" i="5"/>
  <c r="X92" i="5" s="1"/>
  <c r="W93" i="5"/>
  <c r="X93" i="5" s="1"/>
  <c r="W94" i="5"/>
  <c r="X94" i="5" s="1"/>
  <c r="W95" i="5"/>
  <c r="X95" i="5" s="1"/>
  <c r="W96" i="5"/>
  <c r="X96" i="5" s="1"/>
  <c r="W97" i="5"/>
  <c r="X97" i="5" s="1"/>
  <c r="W98" i="5"/>
  <c r="X98" i="5" s="1"/>
  <c r="W99" i="5"/>
  <c r="X99" i="5" s="1"/>
  <c r="W100" i="5"/>
  <c r="X100" i="5" s="1"/>
  <c r="W101" i="5"/>
  <c r="X101" i="5" s="1"/>
  <c r="W102" i="5"/>
  <c r="X102" i="5" s="1"/>
  <c r="W103" i="5"/>
  <c r="X103" i="5" s="1"/>
  <c r="W104" i="5"/>
  <c r="X104" i="5" s="1"/>
  <c r="W105" i="5"/>
  <c r="X105" i="5" s="1"/>
  <c r="W106" i="5"/>
  <c r="X106" i="5" s="1"/>
  <c r="W107" i="5"/>
  <c r="X107" i="5" s="1"/>
  <c r="W108" i="5"/>
  <c r="X108" i="5" s="1"/>
  <c r="W109" i="5"/>
  <c r="X109" i="5" s="1"/>
  <c r="W110" i="5"/>
  <c r="X110" i="5" s="1"/>
  <c r="W111" i="5"/>
  <c r="X111" i="5" s="1"/>
  <c r="W112" i="5"/>
  <c r="X112" i="5" s="1"/>
  <c r="W113" i="5"/>
  <c r="X113" i="5" s="1"/>
  <c r="W114" i="5"/>
  <c r="X114" i="5" s="1"/>
  <c r="W115" i="5"/>
  <c r="X115" i="5" s="1"/>
  <c r="W116" i="5"/>
  <c r="X116" i="5" s="1"/>
  <c r="W117" i="5"/>
  <c r="X117" i="5" s="1"/>
  <c r="W118" i="5"/>
  <c r="X118" i="5" s="1"/>
  <c r="W119" i="5"/>
  <c r="X119" i="5" s="1"/>
  <c r="W120" i="5"/>
  <c r="X120" i="5" s="1"/>
  <c r="W121" i="5"/>
  <c r="X121" i="5" s="1"/>
  <c r="W122" i="5"/>
  <c r="X122" i="5" s="1"/>
  <c r="W123" i="5"/>
  <c r="X123" i="5" s="1"/>
  <c r="W124" i="5"/>
  <c r="X124" i="5" s="1"/>
  <c r="W125" i="5"/>
  <c r="X125" i="5" s="1"/>
  <c r="W126" i="5"/>
  <c r="X126" i="5" s="1"/>
  <c r="W127" i="5"/>
  <c r="X127" i="5" s="1"/>
  <c r="W128" i="5"/>
  <c r="X128" i="5" s="1"/>
  <c r="W129" i="5"/>
  <c r="X129" i="5" s="1"/>
  <c r="W130" i="5"/>
  <c r="X130" i="5" s="1"/>
  <c r="W131" i="5"/>
  <c r="X131" i="5" s="1"/>
  <c r="W132" i="5"/>
  <c r="X132" i="5" s="1"/>
  <c r="W133" i="5"/>
  <c r="X133" i="5" s="1"/>
  <c r="W134" i="5"/>
  <c r="X134" i="5" s="1"/>
  <c r="W135" i="5"/>
  <c r="X135" i="5" s="1"/>
  <c r="W136" i="5"/>
  <c r="X136" i="5" s="1"/>
  <c r="W137" i="5"/>
  <c r="X137" i="5" s="1"/>
  <c r="W138" i="5"/>
  <c r="X138" i="5" s="1"/>
  <c r="W139" i="5"/>
  <c r="X139" i="5" s="1"/>
  <c r="W140" i="5"/>
  <c r="X140" i="5" s="1"/>
  <c r="W141" i="5"/>
  <c r="X141" i="5" s="1"/>
  <c r="W142" i="5"/>
  <c r="X142" i="5" s="1"/>
  <c r="W143" i="5"/>
  <c r="X143" i="5" s="1"/>
  <c r="W144" i="5"/>
  <c r="X144" i="5" s="1"/>
  <c r="W145" i="5"/>
  <c r="X145" i="5" s="1"/>
  <c r="W146" i="5"/>
  <c r="X146" i="5" s="1"/>
  <c r="W147" i="5"/>
  <c r="X147" i="5" s="1"/>
  <c r="W148" i="5"/>
  <c r="X148" i="5" s="1"/>
  <c r="W149" i="5"/>
  <c r="X149" i="5" s="1"/>
  <c r="W150" i="5"/>
  <c r="X150" i="5" s="1"/>
  <c r="W151" i="5"/>
  <c r="X151" i="5" s="1"/>
  <c r="W152" i="5"/>
  <c r="X152" i="5" s="1"/>
  <c r="W153" i="5"/>
  <c r="X153" i="5" s="1"/>
  <c r="W154" i="5"/>
  <c r="X154" i="5" s="1"/>
  <c r="W155" i="5"/>
  <c r="X155" i="5" s="1"/>
  <c r="W156" i="5"/>
  <c r="X156" i="5" s="1"/>
  <c r="W157" i="5"/>
  <c r="X157" i="5" s="1"/>
  <c r="W158" i="5"/>
  <c r="X158" i="5" s="1"/>
  <c r="W159" i="5"/>
  <c r="X159" i="5" s="1"/>
  <c r="W160" i="5"/>
  <c r="X160" i="5" s="1"/>
  <c r="W161" i="5"/>
  <c r="X161" i="5" s="1"/>
  <c r="W162" i="5"/>
  <c r="X162" i="5" s="1"/>
  <c r="W163" i="5"/>
  <c r="X163" i="5" s="1"/>
  <c r="W164" i="5"/>
  <c r="X164" i="5" s="1"/>
  <c r="W165" i="5"/>
  <c r="X165" i="5" s="1"/>
  <c r="W166" i="5"/>
  <c r="X166" i="5" s="1"/>
  <c r="W167" i="5"/>
  <c r="X167" i="5" s="1"/>
  <c r="W168" i="5"/>
  <c r="X168" i="5" s="1"/>
  <c r="W169" i="5"/>
  <c r="X169" i="5" s="1"/>
  <c r="W170" i="5"/>
  <c r="X170" i="5" s="1"/>
  <c r="W171" i="5"/>
  <c r="X171" i="5" s="1"/>
  <c r="W172" i="5"/>
  <c r="X172" i="5" s="1"/>
  <c r="W173" i="5"/>
  <c r="X173" i="5" s="1"/>
  <c r="W174" i="5"/>
  <c r="X174" i="5" s="1"/>
  <c r="W175" i="5"/>
  <c r="X175" i="5" s="1"/>
  <c r="W176" i="5"/>
  <c r="X176" i="5" s="1"/>
  <c r="W177" i="5"/>
  <c r="X177" i="5" s="1"/>
  <c r="W178" i="5"/>
  <c r="X178" i="5" s="1"/>
  <c r="W179" i="5"/>
  <c r="X179" i="5" s="1"/>
  <c r="W180" i="5"/>
  <c r="X180" i="5" s="1"/>
  <c r="W181" i="5"/>
  <c r="X181" i="5" s="1"/>
  <c r="W182" i="5"/>
  <c r="X182" i="5" s="1"/>
  <c r="W183" i="5"/>
  <c r="X183" i="5" s="1"/>
  <c r="W184" i="5"/>
  <c r="X184" i="5" s="1"/>
  <c r="W185" i="5"/>
  <c r="X185" i="5" s="1"/>
  <c r="W186" i="5"/>
  <c r="X186" i="5" s="1"/>
  <c r="W187" i="5"/>
  <c r="X187" i="5" s="1"/>
  <c r="W188" i="5"/>
  <c r="X188" i="5" s="1"/>
  <c r="W189" i="5"/>
  <c r="X189" i="5" s="1"/>
  <c r="W190" i="5"/>
  <c r="X190" i="5" s="1"/>
  <c r="W191" i="5"/>
  <c r="X191" i="5" s="1"/>
  <c r="W192" i="5"/>
  <c r="X192" i="5" s="1"/>
  <c r="W193" i="5"/>
  <c r="X193" i="5" s="1"/>
  <c r="W194" i="5"/>
  <c r="X194" i="5" s="1"/>
  <c r="W195" i="5"/>
  <c r="X195" i="5" s="1"/>
  <c r="W196" i="5"/>
  <c r="X196" i="5" s="1"/>
  <c r="W197" i="5"/>
  <c r="X197" i="5" s="1"/>
  <c r="W198" i="5"/>
  <c r="X198" i="5" s="1"/>
  <c r="W199" i="5"/>
  <c r="X199" i="5" s="1"/>
  <c r="W200" i="5"/>
  <c r="X200" i="5" s="1"/>
  <c r="W201" i="5"/>
  <c r="X201" i="5" s="1"/>
  <c r="W202" i="5"/>
  <c r="X202" i="5" s="1"/>
  <c r="W203" i="5"/>
  <c r="X203" i="5" s="1"/>
  <c r="W204" i="5"/>
  <c r="X204" i="5" s="1"/>
  <c r="W205" i="5"/>
  <c r="X205" i="5" s="1"/>
  <c r="W206" i="5"/>
  <c r="X206" i="5" s="1"/>
  <c r="W207" i="5"/>
  <c r="X207" i="5" s="1"/>
  <c r="W208" i="5"/>
  <c r="X208" i="5" s="1"/>
  <c r="W209" i="5"/>
  <c r="X209" i="5" s="1"/>
  <c r="W210" i="5"/>
  <c r="X210" i="5" s="1"/>
  <c r="W211" i="5"/>
  <c r="X211" i="5" s="1"/>
  <c r="W212" i="5"/>
  <c r="X212" i="5" s="1"/>
  <c r="W213" i="5"/>
  <c r="X213" i="5" s="1"/>
  <c r="W214" i="5"/>
  <c r="X214" i="5" s="1"/>
  <c r="W215" i="5"/>
  <c r="X215" i="5" s="1"/>
  <c r="W216" i="5"/>
  <c r="X216" i="5" s="1"/>
  <c r="W217" i="5"/>
  <c r="X217" i="5" s="1"/>
  <c r="W218" i="5"/>
  <c r="X218" i="5" s="1"/>
  <c r="W219" i="5"/>
  <c r="X219" i="5" s="1"/>
  <c r="W220" i="5"/>
  <c r="X220" i="5" s="1"/>
  <c r="W221" i="5"/>
  <c r="X221" i="5" s="1"/>
  <c r="W222" i="5"/>
  <c r="X222" i="5" s="1"/>
  <c r="W223" i="5"/>
  <c r="X223" i="5" s="1"/>
  <c r="W224" i="5"/>
  <c r="X224" i="5" s="1"/>
  <c r="W225" i="5"/>
  <c r="X225" i="5" s="1"/>
  <c r="W226" i="5"/>
  <c r="X226" i="5" s="1"/>
  <c r="W227" i="5"/>
  <c r="X227" i="5" s="1"/>
  <c r="W228" i="5"/>
  <c r="X228" i="5" s="1"/>
  <c r="W229" i="5"/>
  <c r="X229" i="5" s="1"/>
  <c r="W230" i="5"/>
  <c r="X230" i="5" s="1"/>
  <c r="W231" i="5"/>
  <c r="X231" i="5" s="1"/>
  <c r="W232" i="5"/>
  <c r="X232" i="5" s="1"/>
  <c r="W233" i="5"/>
  <c r="X233" i="5" s="1"/>
  <c r="W234" i="5"/>
  <c r="X234" i="5" s="1"/>
  <c r="W235" i="5"/>
  <c r="X235" i="5" s="1"/>
  <c r="W236" i="5"/>
  <c r="X236" i="5" s="1"/>
  <c r="W237" i="5"/>
  <c r="X237" i="5" s="1"/>
  <c r="W238" i="5"/>
  <c r="X238" i="5" s="1"/>
  <c r="W239" i="5"/>
  <c r="X239" i="5" s="1"/>
  <c r="W240" i="5"/>
  <c r="X240" i="5" s="1"/>
  <c r="W241" i="5"/>
  <c r="X241" i="5" s="1"/>
  <c r="W242" i="5"/>
  <c r="X242" i="5" s="1"/>
  <c r="W243" i="5"/>
  <c r="X243" i="5" s="1"/>
  <c r="W244" i="5"/>
  <c r="X244" i="5" s="1"/>
  <c r="W245" i="5"/>
  <c r="X245" i="5" s="1"/>
  <c r="W246" i="5"/>
  <c r="X246" i="5" s="1"/>
  <c r="W247" i="5"/>
  <c r="X247" i="5" s="1"/>
  <c r="W248" i="5"/>
  <c r="X248" i="5" s="1"/>
  <c r="W249" i="5"/>
  <c r="X249" i="5" s="1"/>
  <c r="W250" i="5"/>
  <c r="X250" i="5" s="1"/>
  <c r="W251" i="5"/>
  <c r="X251" i="5" s="1"/>
  <c r="W252" i="5"/>
  <c r="X252" i="5" s="1"/>
  <c r="W253" i="5"/>
  <c r="X253" i="5" s="1"/>
  <c r="W254" i="5"/>
  <c r="X254" i="5" s="1"/>
  <c r="W255" i="5"/>
  <c r="X255" i="5" s="1"/>
  <c r="W256" i="5"/>
  <c r="X256" i="5" s="1"/>
  <c r="W257" i="5"/>
  <c r="X257" i="5" s="1"/>
  <c r="W258" i="5"/>
  <c r="X258" i="5" s="1"/>
  <c r="W259" i="5"/>
  <c r="X259" i="5" s="1"/>
  <c r="W260" i="5"/>
  <c r="X260" i="5" s="1"/>
  <c r="W261" i="5"/>
  <c r="X261" i="5" s="1"/>
  <c r="W262" i="5"/>
  <c r="X262" i="5" s="1"/>
  <c r="W263" i="5"/>
  <c r="X263" i="5" s="1"/>
  <c r="W264" i="5"/>
  <c r="X264" i="5" s="1"/>
  <c r="W265" i="5"/>
  <c r="X265" i="5" s="1"/>
  <c r="W266" i="5"/>
  <c r="X266" i="5" s="1"/>
  <c r="W267" i="5"/>
  <c r="X267" i="5" s="1"/>
  <c r="W268" i="5"/>
  <c r="X268" i="5" s="1"/>
  <c r="W269" i="5"/>
  <c r="X269" i="5" s="1"/>
  <c r="W270" i="5"/>
  <c r="X270" i="5" s="1"/>
  <c r="W271" i="5"/>
  <c r="X271" i="5" s="1"/>
  <c r="W272" i="5"/>
  <c r="X272" i="5" s="1"/>
  <c r="W273" i="5"/>
  <c r="X273" i="5" s="1"/>
  <c r="W274" i="5"/>
  <c r="X274" i="5" s="1"/>
  <c r="W275" i="5"/>
  <c r="X275" i="5" s="1"/>
  <c r="W276" i="5"/>
  <c r="X276" i="5" s="1"/>
  <c r="W277" i="5"/>
  <c r="X277" i="5" s="1"/>
  <c r="W278" i="5"/>
  <c r="X278" i="5" s="1"/>
  <c r="W279" i="5"/>
  <c r="X279" i="5" s="1"/>
  <c r="W280" i="5"/>
  <c r="X280" i="5" s="1"/>
  <c r="W281" i="5"/>
  <c r="X281" i="5" s="1"/>
  <c r="W282" i="5"/>
  <c r="X282" i="5" s="1"/>
  <c r="W283" i="5"/>
  <c r="X283" i="5" s="1"/>
  <c r="W284" i="5"/>
  <c r="X284" i="5" s="1"/>
  <c r="W285" i="5"/>
  <c r="X285" i="5" s="1"/>
  <c r="W286" i="5"/>
  <c r="X286" i="5" s="1"/>
  <c r="W287" i="5"/>
  <c r="X287" i="5" s="1"/>
  <c r="W288" i="5"/>
  <c r="X288" i="5" s="1"/>
  <c r="W289" i="5"/>
  <c r="X289" i="5" s="1"/>
  <c r="W290" i="5"/>
  <c r="X290" i="5" s="1"/>
  <c r="W291" i="5"/>
  <c r="X291" i="5" s="1"/>
  <c r="W292" i="5"/>
  <c r="X292" i="5" s="1"/>
  <c r="W293" i="5"/>
  <c r="X293" i="5" s="1"/>
  <c r="W294" i="5"/>
  <c r="X294" i="5" s="1"/>
  <c r="W295" i="5"/>
  <c r="X295" i="5" s="1"/>
  <c r="W296" i="5"/>
  <c r="X296" i="5" s="1"/>
  <c r="W297" i="5"/>
  <c r="X297" i="5" s="1"/>
  <c r="W298" i="5"/>
  <c r="X298" i="5" s="1"/>
  <c r="W299" i="5"/>
  <c r="X299" i="5" s="1"/>
  <c r="W300" i="5"/>
  <c r="X300" i="5" s="1"/>
  <c r="W301" i="5"/>
  <c r="X301" i="5" s="1"/>
  <c r="V3" i="5"/>
  <c r="V2" i="5"/>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214" i="5"/>
  <c r="V215" i="5"/>
  <c r="V216" i="5"/>
  <c r="V217" i="5"/>
  <c r="V218" i="5"/>
  <c r="V219" i="5"/>
  <c r="V220" i="5"/>
  <c r="V221" i="5"/>
  <c r="V222" i="5"/>
  <c r="V223" i="5"/>
  <c r="V224" i="5"/>
  <c r="V225" i="5"/>
  <c r="V226" i="5"/>
  <c r="V227" i="5"/>
  <c r="V228" i="5"/>
  <c r="V229" i="5"/>
  <c r="V230" i="5"/>
  <c r="V231" i="5"/>
  <c r="V232" i="5"/>
  <c r="V233" i="5"/>
  <c r="V234" i="5"/>
  <c r="V235" i="5"/>
  <c r="V236" i="5"/>
  <c r="V237" i="5"/>
  <c r="V238" i="5"/>
  <c r="V239" i="5"/>
  <c r="V240" i="5"/>
  <c r="V241" i="5"/>
  <c r="V242" i="5"/>
  <c r="V243" i="5"/>
  <c r="V244" i="5"/>
  <c r="V245" i="5"/>
  <c r="V246" i="5"/>
  <c r="V247" i="5"/>
  <c r="V248" i="5"/>
  <c r="V249" i="5"/>
  <c r="V250" i="5"/>
  <c r="V251" i="5"/>
  <c r="V252" i="5"/>
  <c r="V253" i="5"/>
  <c r="V254" i="5"/>
  <c r="V255" i="5"/>
  <c r="V256" i="5"/>
  <c r="V257" i="5"/>
  <c r="V258" i="5"/>
  <c r="V259" i="5"/>
  <c r="V260" i="5"/>
  <c r="V261" i="5"/>
  <c r="V262" i="5"/>
  <c r="V263" i="5"/>
  <c r="V264" i="5"/>
  <c r="V265" i="5"/>
  <c r="V266" i="5"/>
  <c r="V267" i="5"/>
  <c r="V268" i="5"/>
  <c r="V269" i="5"/>
  <c r="V270" i="5"/>
  <c r="V271" i="5"/>
  <c r="V272" i="5"/>
  <c r="V273" i="5"/>
  <c r="V274" i="5"/>
  <c r="V275" i="5"/>
  <c r="V276" i="5"/>
  <c r="V277" i="5"/>
  <c r="V278" i="5"/>
  <c r="V279" i="5"/>
  <c r="V280" i="5"/>
  <c r="V281" i="5"/>
  <c r="V282" i="5"/>
  <c r="V283" i="5"/>
  <c r="V284" i="5"/>
  <c r="V285" i="5"/>
  <c r="V286" i="5"/>
  <c r="V287" i="5"/>
  <c r="V288" i="5"/>
  <c r="V289" i="5"/>
  <c r="V290" i="5"/>
  <c r="V291" i="5"/>
  <c r="V292" i="5"/>
  <c r="V293" i="5"/>
  <c r="V294" i="5"/>
  <c r="V295" i="5"/>
  <c r="V296" i="5"/>
  <c r="V297" i="5"/>
  <c r="V298" i="5"/>
  <c r="V299" i="5"/>
  <c r="V300" i="5"/>
  <c r="V301" i="5"/>
  <c r="U3" i="5"/>
  <c r="Y3" i="5" s="1"/>
  <c r="U2" i="5"/>
  <c r="Y2" i="5" s="1"/>
  <c r="U4" i="5"/>
  <c r="Y4" i="5" s="1"/>
  <c r="U5" i="5"/>
  <c r="Y5" i="5" s="1"/>
  <c r="U6" i="5"/>
  <c r="Y6" i="5" s="1"/>
  <c r="U7" i="5"/>
  <c r="Y7" i="5" s="1"/>
  <c r="U8" i="5"/>
  <c r="Y8" i="5" s="1"/>
  <c r="U9" i="5"/>
  <c r="Y9" i="5" s="1"/>
  <c r="U10" i="5"/>
  <c r="Y10" i="5" s="1"/>
  <c r="U11" i="5"/>
  <c r="Y11" i="5" s="1"/>
  <c r="U12" i="5"/>
  <c r="Y12" i="5" s="1"/>
  <c r="U13" i="5"/>
  <c r="Y13" i="5" s="1"/>
  <c r="U14" i="5"/>
  <c r="Y14" i="5" s="1"/>
  <c r="U15" i="5"/>
  <c r="Y15" i="5" s="1"/>
  <c r="U16" i="5"/>
  <c r="Y16" i="5" s="1"/>
  <c r="U17" i="5"/>
  <c r="Y17" i="5" s="1"/>
  <c r="U18" i="5"/>
  <c r="Y18" i="5" s="1"/>
  <c r="U19" i="5"/>
  <c r="Y19" i="5" s="1"/>
  <c r="U20" i="5"/>
  <c r="Y20" i="5" s="1"/>
  <c r="U21" i="5"/>
  <c r="Y21" i="5" s="1"/>
  <c r="U22" i="5"/>
  <c r="Y22" i="5" s="1"/>
  <c r="U23" i="5"/>
  <c r="Y23" i="5" s="1"/>
  <c r="U24" i="5"/>
  <c r="Y24" i="5" s="1"/>
  <c r="U25" i="5"/>
  <c r="Y25" i="5" s="1"/>
  <c r="U26" i="5"/>
  <c r="Y26" i="5" s="1"/>
  <c r="U27" i="5"/>
  <c r="Y27" i="5" s="1"/>
  <c r="U28" i="5"/>
  <c r="Y28" i="5" s="1"/>
  <c r="U29" i="5"/>
  <c r="Y29" i="5" s="1"/>
  <c r="U30" i="5"/>
  <c r="Y30" i="5" s="1"/>
  <c r="U31" i="5"/>
  <c r="Y31" i="5" s="1"/>
  <c r="U32" i="5"/>
  <c r="Y32" i="5" s="1"/>
  <c r="U33" i="5"/>
  <c r="Y33" i="5" s="1"/>
  <c r="U34" i="5"/>
  <c r="Y34" i="5" s="1"/>
  <c r="U35" i="5"/>
  <c r="Y35" i="5" s="1"/>
  <c r="U36" i="5"/>
  <c r="Y36" i="5" s="1"/>
  <c r="U37" i="5"/>
  <c r="Y37" i="5" s="1"/>
  <c r="U38" i="5"/>
  <c r="Y38" i="5" s="1"/>
  <c r="U39" i="5"/>
  <c r="Y39" i="5" s="1"/>
  <c r="U40" i="5"/>
  <c r="Y40" i="5" s="1"/>
  <c r="U41" i="5"/>
  <c r="Y41" i="5" s="1"/>
  <c r="U42" i="5"/>
  <c r="Y42" i="5" s="1"/>
  <c r="U43" i="5"/>
  <c r="Y43" i="5" s="1"/>
  <c r="U44" i="5"/>
  <c r="Y44" i="5" s="1"/>
  <c r="U45" i="5"/>
  <c r="Y45" i="5" s="1"/>
  <c r="U46" i="5"/>
  <c r="Y46" i="5" s="1"/>
  <c r="U47" i="5"/>
  <c r="Y47" i="5" s="1"/>
  <c r="U48" i="5"/>
  <c r="Y48" i="5" s="1"/>
  <c r="U49" i="5"/>
  <c r="Y49" i="5" s="1"/>
  <c r="U50" i="5"/>
  <c r="Y50" i="5" s="1"/>
  <c r="U51" i="5"/>
  <c r="Y51" i="5" s="1"/>
  <c r="U52" i="5"/>
  <c r="Y52" i="5" s="1"/>
  <c r="U53" i="5"/>
  <c r="Y53" i="5" s="1"/>
  <c r="U54" i="5"/>
  <c r="Y54" i="5" s="1"/>
  <c r="U55" i="5"/>
  <c r="Y55" i="5" s="1"/>
  <c r="U56" i="5"/>
  <c r="Y56" i="5" s="1"/>
  <c r="U57" i="5"/>
  <c r="Y57" i="5" s="1"/>
  <c r="U58" i="5"/>
  <c r="Y58" i="5" s="1"/>
  <c r="U59" i="5"/>
  <c r="Y59" i="5" s="1"/>
  <c r="U60" i="5"/>
  <c r="Y60" i="5" s="1"/>
  <c r="U61" i="5"/>
  <c r="Y61" i="5" s="1"/>
  <c r="U62" i="5"/>
  <c r="Y62" i="5" s="1"/>
  <c r="U63" i="5"/>
  <c r="Y63" i="5" s="1"/>
  <c r="U64" i="5"/>
  <c r="Y64" i="5" s="1"/>
  <c r="U65" i="5"/>
  <c r="Y65" i="5" s="1"/>
  <c r="U66" i="5"/>
  <c r="Y66" i="5" s="1"/>
  <c r="U67" i="5"/>
  <c r="Y67" i="5" s="1"/>
  <c r="U68" i="5"/>
  <c r="Y68" i="5" s="1"/>
  <c r="U69" i="5"/>
  <c r="Y69" i="5" s="1"/>
  <c r="U70" i="5"/>
  <c r="Y70" i="5" s="1"/>
  <c r="U71" i="5"/>
  <c r="Y71" i="5" s="1"/>
  <c r="U72" i="5"/>
  <c r="Y72" i="5" s="1"/>
  <c r="U73" i="5"/>
  <c r="Y73" i="5" s="1"/>
  <c r="U74" i="5"/>
  <c r="Y74" i="5" s="1"/>
  <c r="U75" i="5"/>
  <c r="Y75" i="5" s="1"/>
  <c r="U76" i="5"/>
  <c r="Y76" i="5" s="1"/>
  <c r="U77" i="5"/>
  <c r="Y77" i="5" s="1"/>
  <c r="U78" i="5"/>
  <c r="Y78" i="5" s="1"/>
  <c r="U79" i="5"/>
  <c r="Y79" i="5" s="1"/>
  <c r="U80" i="5"/>
  <c r="Y80" i="5" s="1"/>
  <c r="U81" i="5"/>
  <c r="Y81" i="5" s="1"/>
  <c r="U82" i="5"/>
  <c r="Y82" i="5" s="1"/>
  <c r="U83" i="5"/>
  <c r="Y83" i="5" s="1"/>
  <c r="U84" i="5"/>
  <c r="Y84" i="5" s="1"/>
  <c r="U85" i="5"/>
  <c r="Y85" i="5" s="1"/>
  <c r="U86" i="5"/>
  <c r="Y86" i="5" s="1"/>
  <c r="U87" i="5"/>
  <c r="Y87" i="5" s="1"/>
  <c r="U88" i="5"/>
  <c r="Y88" i="5" s="1"/>
  <c r="U89" i="5"/>
  <c r="Y89" i="5" s="1"/>
  <c r="U90" i="5"/>
  <c r="Y90" i="5" s="1"/>
  <c r="U91" i="5"/>
  <c r="Y91" i="5" s="1"/>
  <c r="U92" i="5"/>
  <c r="Y92" i="5" s="1"/>
  <c r="U93" i="5"/>
  <c r="Y93" i="5" s="1"/>
  <c r="U94" i="5"/>
  <c r="Y94" i="5" s="1"/>
  <c r="U95" i="5"/>
  <c r="Y95" i="5" s="1"/>
  <c r="U96" i="5"/>
  <c r="Y96" i="5" s="1"/>
  <c r="U97" i="5"/>
  <c r="Y97" i="5" s="1"/>
  <c r="U98" i="5"/>
  <c r="Y98" i="5" s="1"/>
  <c r="U99" i="5"/>
  <c r="Y99" i="5" s="1"/>
  <c r="U100" i="5"/>
  <c r="Y100" i="5" s="1"/>
  <c r="U101" i="5"/>
  <c r="Y101" i="5" s="1"/>
  <c r="U102" i="5"/>
  <c r="Y102" i="5" s="1"/>
  <c r="U103" i="5"/>
  <c r="Y103" i="5" s="1"/>
  <c r="U104" i="5"/>
  <c r="Y104" i="5" s="1"/>
  <c r="U105" i="5"/>
  <c r="Y105" i="5" s="1"/>
  <c r="U106" i="5"/>
  <c r="Y106" i="5" s="1"/>
  <c r="U107" i="5"/>
  <c r="Y107" i="5" s="1"/>
  <c r="U108" i="5"/>
  <c r="Y108" i="5" s="1"/>
  <c r="U109" i="5"/>
  <c r="Y109" i="5" s="1"/>
  <c r="U110" i="5"/>
  <c r="Y110" i="5" s="1"/>
  <c r="U111" i="5"/>
  <c r="Y111" i="5" s="1"/>
  <c r="U112" i="5"/>
  <c r="Y112" i="5" s="1"/>
  <c r="U113" i="5"/>
  <c r="Y113" i="5" s="1"/>
  <c r="U114" i="5"/>
  <c r="Y114" i="5" s="1"/>
  <c r="U115" i="5"/>
  <c r="Y115" i="5" s="1"/>
  <c r="U116" i="5"/>
  <c r="Y116" i="5" s="1"/>
  <c r="U117" i="5"/>
  <c r="Y117" i="5" s="1"/>
  <c r="U118" i="5"/>
  <c r="Y118" i="5" s="1"/>
  <c r="U119" i="5"/>
  <c r="Y119" i="5" s="1"/>
  <c r="U120" i="5"/>
  <c r="Y120" i="5" s="1"/>
  <c r="U121" i="5"/>
  <c r="Y121" i="5" s="1"/>
  <c r="U122" i="5"/>
  <c r="Y122" i="5" s="1"/>
  <c r="U123" i="5"/>
  <c r="Y123" i="5" s="1"/>
  <c r="U124" i="5"/>
  <c r="Y124" i="5" s="1"/>
  <c r="U125" i="5"/>
  <c r="Y125" i="5" s="1"/>
  <c r="U126" i="5"/>
  <c r="Y126" i="5" s="1"/>
  <c r="U127" i="5"/>
  <c r="Y127" i="5" s="1"/>
  <c r="U128" i="5"/>
  <c r="Y128" i="5" s="1"/>
  <c r="U129" i="5"/>
  <c r="Y129" i="5" s="1"/>
  <c r="U130" i="5"/>
  <c r="Y130" i="5" s="1"/>
  <c r="U131" i="5"/>
  <c r="Y131" i="5" s="1"/>
  <c r="U132" i="5"/>
  <c r="Y132" i="5" s="1"/>
  <c r="U133" i="5"/>
  <c r="Y133" i="5" s="1"/>
  <c r="U134" i="5"/>
  <c r="Y134" i="5" s="1"/>
  <c r="U135" i="5"/>
  <c r="Y135" i="5" s="1"/>
  <c r="U136" i="5"/>
  <c r="Y136" i="5" s="1"/>
  <c r="U137" i="5"/>
  <c r="Y137" i="5" s="1"/>
  <c r="U138" i="5"/>
  <c r="Y138" i="5" s="1"/>
  <c r="U139" i="5"/>
  <c r="Y139" i="5" s="1"/>
  <c r="U140" i="5"/>
  <c r="Y140" i="5" s="1"/>
  <c r="U141" i="5"/>
  <c r="Y141" i="5" s="1"/>
  <c r="U142" i="5"/>
  <c r="Y142" i="5" s="1"/>
  <c r="U143" i="5"/>
  <c r="Y143" i="5" s="1"/>
  <c r="U144" i="5"/>
  <c r="Y144" i="5" s="1"/>
  <c r="U145" i="5"/>
  <c r="Y145" i="5" s="1"/>
  <c r="U146" i="5"/>
  <c r="Y146" i="5" s="1"/>
  <c r="U147" i="5"/>
  <c r="Y147" i="5" s="1"/>
  <c r="U148" i="5"/>
  <c r="Y148" i="5" s="1"/>
  <c r="U149" i="5"/>
  <c r="Y149" i="5" s="1"/>
  <c r="U150" i="5"/>
  <c r="Y150" i="5" s="1"/>
  <c r="U151" i="5"/>
  <c r="Y151" i="5" s="1"/>
  <c r="U152" i="5"/>
  <c r="Y152" i="5" s="1"/>
  <c r="U153" i="5"/>
  <c r="Y153" i="5" s="1"/>
  <c r="U154" i="5"/>
  <c r="Y154" i="5" s="1"/>
  <c r="U155" i="5"/>
  <c r="Y155" i="5" s="1"/>
  <c r="U156" i="5"/>
  <c r="Y156" i="5" s="1"/>
  <c r="U157" i="5"/>
  <c r="Y157" i="5" s="1"/>
  <c r="U158" i="5"/>
  <c r="Y158" i="5" s="1"/>
  <c r="U159" i="5"/>
  <c r="Y159" i="5" s="1"/>
  <c r="U160" i="5"/>
  <c r="Y160" i="5" s="1"/>
  <c r="U161" i="5"/>
  <c r="Y161" i="5" s="1"/>
  <c r="U162" i="5"/>
  <c r="Y162" i="5" s="1"/>
  <c r="U163" i="5"/>
  <c r="Y163" i="5" s="1"/>
  <c r="U164" i="5"/>
  <c r="Y164" i="5" s="1"/>
  <c r="U165" i="5"/>
  <c r="Y165" i="5" s="1"/>
  <c r="U166" i="5"/>
  <c r="Y166" i="5" s="1"/>
  <c r="U167" i="5"/>
  <c r="Y167" i="5" s="1"/>
  <c r="U168" i="5"/>
  <c r="Y168" i="5" s="1"/>
  <c r="U169" i="5"/>
  <c r="Y169" i="5" s="1"/>
  <c r="U170" i="5"/>
  <c r="Y170" i="5" s="1"/>
  <c r="U171" i="5"/>
  <c r="Y171" i="5" s="1"/>
  <c r="U172" i="5"/>
  <c r="Y172" i="5" s="1"/>
  <c r="U173" i="5"/>
  <c r="Y173" i="5" s="1"/>
  <c r="U174" i="5"/>
  <c r="Y174" i="5" s="1"/>
  <c r="U175" i="5"/>
  <c r="Y175" i="5" s="1"/>
  <c r="U176" i="5"/>
  <c r="Y176" i="5" s="1"/>
  <c r="U177" i="5"/>
  <c r="Y177" i="5" s="1"/>
  <c r="U178" i="5"/>
  <c r="Y178" i="5" s="1"/>
  <c r="U179" i="5"/>
  <c r="Y179" i="5" s="1"/>
  <c r="U180" i="5"/>
  <c r="Y180" i="5" s="1"/>
  <c r="U181" i="5"/>
  <c r="Y181" i="5" s="1"/>
  <c r="U182" i="5"/>
  <c r="Y182" i="5" s="1"/>
  <c r="U183" i="5"/>
  <c r="Y183" i="5" s="1"/>
  <c r="U184" i="5"/>
  <c r="Y184" i="5" s="1"/>
  <c r="U185" i="5"/>
  <c r="Y185" i="5" s="1"/>
  <c r="U186" i="5"/>
  <c r="Y186" i="5" s="1"/>
  <c r="U187" i="5"/>
  <c r="Y187" i="5" s="1"/>
  <c r="U188" i="5"/>
  <c r="Y188" i="5" s="1"/>
  <c r="U189" i="5"/>
  <c r="Y189" i="5" s="1"/>
  <c r="U190" i="5"/>
  <c r="Y190" i="5" s="1"/>
  <c r="U191" i="5"/>
  <c r="Y191" i="5" s="1"/>
  <c r="U192" i="5"/>
  <c r="Y192" i="5" s="1"/>
  <c r="U193" i="5"/>
  <c r="Y193" i="5" s="1"/>
  <c r="U194" i="5"/>
  <c r="Y194" i="5" s="1"/>
  <c r="U195" i="5"/>
  <c r="Y195" i="5" s="1"/>
  <c r="U196" i="5"/>
  <c r="Y196" i="5" s="1"/>
  <c r="U197" i="5"/>
  <c r="Y197" i="5" s="1"/>
  <c r="U198" i="5"/>
  <c r="Y198" i="5" s="1"/>
  <c r="U199" i="5"/>
  <c r="Y199" i="5" s="1"/>
  <c r="U200" i="5"/>
  <c r="Y200" i="5" s="1"/>
  <c r="U201" i="5"/>
  <c r="Y201" i="5" s="1"/>
  <c r="U202" i="5"/>
  <c r="Y202" i="5" s="1"/>
  <c r="U203" i="5"/>
  <c r="Y203" i="5" s="1"/>
  <c r="U204" i="5"/>
  <c r="Y204" i="5" s="1"/>
  <c r="U205" i="5"/>
  <c r="Y205" i="5" s="1"/>
  <c r="U206" i="5"/>
  <c r="Y206" i="5" s="1"/>
  <c r="U207" i="5"/>
  <c r="Y207" i="5" s="1"/>
  <c r="U208" i="5"/>
  <c r="Y208" i="5" s="1"/>
  <c r="U209" i="5"/>
  <c r="Y209" i="5" s="1"/>
  <c r="U210" i="5"/>
  <c r="Y210" i="5" s="1"/>
  <c r="U211" i="5"/>
  <c r="Y211" i="5" s="1"/>
  <c r="U212" i="5"/>
  <c r="Y212" i="5" s="1"/>
  <c r="U213" i="5"/>
  <c r="Y213" i="5" s="1"/>
  <c r="U214" i="5"/>
  <c r="Y214" i="5" s="1"/>
  <c r="U215" i="5"/>
  <c r="Y215" i="5" s="1"/>
  <c r="U216" i="5"/>
  <c r="Y216" i="5" s="1"/>
  <c r="U217" i="5"/>
  <c r="Y217" i="5" s="1"/>
  <c r="U218" i="5"/>
  <c r="Y218" i="5" s="1"/>
  <c r="U219" i="5"/>
  <c r="Y219" i="5" s="1"/>
  <c r="U220" i="5"/>
  <c r="Y220" i="5" s="1"/>
  <c r="U221" i="5"/>
  <c r="Y221" i="5" s="1"/>
  <c r="U222" i="5"/>
  <c r="Y222" i="5" s="1"/>
  <c r="U223" i="5"/>
  <c r="Y223" i="5" s="1"/>
  <c r="U224" i="5"/>
  <c r="Y224" i="5" s="1"/>
  <c r="U225" i="5"/>
  <c r="Y225" i="5" s="1"/>
  <c r="U226" i="5"/>
  <c r="Y226" i="5" s="1"/>
  <c r="U227" i="5"/>
  <c r="Y227" i="5" s="1"/>
  <c r="U228" i="5"/>
  <c r="Y228" i="5" s="1"/>
  <c r="U229" i="5"/>
  <c r="Y229" i="5" s="1"/>
  <c r="U230" i="5"/>
  <c r="Y230" i="5" s="1"/>
  <c r="U231" i="5"/>
  <c r="Y231" i="5" s="1"/>
  <c r="U232" i="5"/>
  <c r="Y232" i="5" s="1"/>
  <c r="U233" i="5"/>
  <c r="Y233" i="5" s="1"/>
  <c r="U234" i="5"/>
  <c r="Y234" i="5" s="1"/>
  <c r="U235" i="5"/>
  <c r="Y235" i="5" s="1"/>
  <c r="U236" i="5"/>
  <c r="Y236" i="5" s="1"/>
  <c r="U237" i="5"/>
  <c r="Y237" i="5" s="1"/>
  <c r="U238" i="5"/>
  <c r="Y238" i="5" s="1"/>
  <c r="U239" i="5"/>
  <c r="Y239" i="5" s="1"/>
  <c r="U240" i="5"/>
  <c r="Y240" i="5" s="1"/>
  <c r="U241" i="5"/>
  <c r="Y241" i="5" s="1"/>
  <c r="U242" i="5"/>
  <c r="Y242" i="5" s="1"/>
  <c r="U243" i="5"/>
  <c r="Y243" i="5" s="1"/>
  <c r="U244" i="5"/>
  <c r="Y244" i="5" s="1"/>
  <c r="U245" i="5"/>
  <c r="Y245" i="5" s="1"/>
  <c r="U246" i="5"/>
  <c r="Y246" i="5" s="1"/>
  <c r="U247" i="5"/>
  <c r="Y247" i="5" s="1"/>
  <c r="U248" i="5"/>
  <c r="Y248" i="5" s="1"/>
  <c r="U249" i="5"/>
  <c r="Y249" i="5" s="1"/>
  <c r="U250" i="5"/>
  <c r="Y250" i="5" s="1"/>
  <c r="U251" i="5"/>
  <c r="Y251" i="5" s="1"/>
  <c r="U252" i="5"/>
  <c r="Y252" i="5" s="1"/>
  <c r="U253" i="5"/>
  <c r="Y253" i="5" s="1"/>
  <c r="U254" i="5"/>
  <c r="Y254" i="5" s="1"/>
  <c r="U255" i="5"/>
  <c r="Y255" i="5" s="1"/>
  <c r="U256" i="5"/>
  <c r="Y256" i="5" s="1"/>
  <c r="U257" i="5"/>
  <c r="Y257" i="5" s="1"/>
  <c r="U258" i="5"/>
  <c r="Y258" i="5" s="1"/>
  <c r="U259" i="5"/>
  <c r="Y259" i="5" s="1"/>
  <c r="U260" i="5"/>
  <c r="Y260" i="5" s="1"/>
  <c r="U261" i="5"/>
  <c r="Y261" i="5" s="1"/>
  <c r="U262" i="5"/>
  <c r="Y262" i="5" s="1"/>
  <c r="U263" i="5"/>
  <c r="Y263" i="5" s="1"/>
  <c r="U264" i="5"/>
  <c r="Y264" i="5" s="1"/>
  <c r="U265" i="5"/>
  <c r="Y265" i="5" s="1"/>
  <c r="U266" i="5"/>
  <c r="Y266" i="5" s="1"/>
  <c r="U267" i="5"/>
  <c r="Y267" i="5" s="1"/>
  <c r="U268" i="5"/>
  <c r="Y268" i="5" s="1"/>
  <c r="U269" i="5"/>
  <c r="Y269" i="5" s="1"/>
  <c r="U270" i="5"/>
  <c r="Y270" i="5" s="1"/>
  <c r="U271" i="5"/>
  <c r="Y271" i="5" s="1"/>
  <c r="U272" i="5"/>
  <c r="Y272" i="5" s="1"/>
  <c r="U273" i="5"/>
  <c r="Y273" i="5" s="1"/>
  <c r="U274" i="5"/>
  <c r="Y274" i="5" s="1"/>
  <c r="U275" i="5"/>
  <c r="Y275" i="5" s="1"/>
  <c r="U276" i="5"/>
  <c r="Y276" i="5" s="1"/>
  <c r="U277" i="5"/>
  <c r="Y277" i="5" s="1"/>
  <c r="U278" i="5"/>
  <c r="Y278" i="5" s="1"/>
  <c r="U279" i="5"/>
  <c r="Y279" i="5" s="1"/>
  <c r="U280" i="5"/>
  <c r="Y280" i="5" s="1"/>
  <c r="U281" i="5"/>
  <c r="Y281" i="5" s="1"/>
  <c r="U282" i="5"/>
  <c r="Y282" i="5" s="1"/>
  <c r="U283" i="5"/>
  <c r="Y283" i="5" s="1"/>
  <c r="U284" i="5"/>
  <c r="Y284" i="5" s="1"/>
  <c r="U285" i="5"/>
  <c r="Y285" i="5" s="1"/>
  <c r="U286" i="5"/>
  <c r="Y286" i="5" s="1"/>
  <c r="U287" i="5"/>
  <c r="Y287" i="5" s="1"/>
  <c r="U288" i="5"/>
  <c r="Y288" i="5" s="1"/>
  <c r="U289" i="5"/>
  <c r="Y289" i="5" s="1"/>
  <c r="U290" i="5"/>
  <c r="Y290" i="5" s="1"/>
  <c r="U291" i="5"/>
  <c r="Y291" i="5" s="1"/>
  <c r="U292" i="5"/>
  <c r="Y292" i="5" s="1"/>
  <c r="U293" i="5"/>
  <c r="Y293" i="5" s="1"/>
  <c r="U294" i="5"/>
  <c r="Y294" i="5" s="1"/>
  <c r="U295" i="5"/>
  <c r="Y295" i="5" s="1"/>
  <c r="U296" i="5"/>
  <c r="Y296" i="5" s="1"/>
  <c r="U297" i="5"/>
  <c r="Y297" i="5" s="1"/>
  <c r="U298" i="5"/>
  <c r="Y298" i="5" s="1"/>
  <c r="U299" i="5"/>
  <c r="Y299" i="5" s="1"/>
  <c r="U300" i="5"/>
  <c r="Y300" i="5" s="1"/>
  <c r="U301" i="5"/>
  <c r="Y301" i="5" s="1"/>
  <c r="CH5" i="9"/>
  <c r="CH17" i="9"/>
  <c r="CC20" i="9"/>
  <c r="CH26" i="9"/>
  <c r="CC19" i="9"/>
  <c r="CB20" i="9"/>
  <c r="CC18" i="9"/>
  <c r="J5" i="9"/>
  <c r="CB19" i="9"/>
  <c r="CB18" i="9"/>
  <c r="BA7" i="9"/>
  <c r="CH9" i="9"/>
  <c r="AM10" i="9"/>
  <c r="AM9" i="9"/>
  <c r="AM8" i="9"/>
  <c r="AM7" i="9"/>
  <c r="AM6" i="9"/>
  <c r="AM5" i="9"/>
  <c r="AM4" i="9"/>
  <c r="AO32" i="9"/>
  <c r="AN10" i="9"/>
  <c r="AN9" i="9"/>
  <c r="AN8" i="9"/>
  <c r="AN7" i="9"/>
  <c r="AN6" i="9"/>
  <c r="AN5" i="9"/>
  <c r="AN4" i="9"/>
  <c r="AC297" i="5" l="1"/>
  <c r="AD297" i="5" s="1"/>
  <c r="AC289" i="5"/>
  <c r="AD289" i="5" s="1"/>
  <c r="AC281" i="5"/>
  <c r="AD281" i="5" s="1"/>
  <c r="AC273" i="5"/>
  <c r="AD273" i="5" s="1"/>
  <c r="AC265" i="5"/>
  <c r="AD265" i="5" s="1"/>
  <c r="AC257" i="5"/>
  <c r="AD257" i="5" s="1"/>
  <c r="AC249" i="5"/>
  <c r="AD249" i="5" s="1"/>
  <c r="AC241" i="5"/>
  <c r="AD241" i="5" s="1"/>
  <c r="AC233" i="5"/>
  <c r="AD233" i="5" s="1"/>
  <c r="AC225" i="5"/>
  <c r="AD225" i="5" s="1"/>
  <c r="AC217" i="5"/>
  <c r="AD217" i="5" s="1"/>
  <c r="AC209" i="5"/>
  <c r="AD209" i="5" s="1"/>
  <c r="AC201" i="5"/>
  <c r="AD201" i="5" s="1"/>
  <c r="AC193" i="5"/>
  <c r="AD193" i="5" s="1"/>
  <c r="AC185" i="5"/>
  <c r="AD185" i="5" s="1"/>
  <c r="AC177" i="5"/>
  <c r="AD177" i="5" s="1"/>
  <c r="AC169" i="5"/>
  <c r="AD169" i="5" s="1"/>
  <c r="AC161" i="5"/>
  <c r="AD161" i="5" s="1"/>
  <c r="AC153" i="5"/>
  <c r="AD153" i="5" s="1"/>
  <c r="AC145" i="5"/>
  <c r="AD145" i="5" s="1"/>
  <c r="AC137" i="5"/>
  <c r="AD137" i="5" s="1"/>
  <c r="AC129" i="5"/>
  <c r="AD129" i="5" s="1"/>
  <c r="AC121" i="5"/>
  <c r="AD121" i="5" s="1"/>
  <c r="AC113" i="5"/>
  <c r="AD113" i="5" s="1"/>
  <c r="AC105" i="5"/>
  <c r="AD105" i="5" s="1"/>
  <c r="AC97" i="5"/>
  <c r="AD97" i="5" s="1"/>
  <c r="AC89" i="5"/>
  <c r="AD89" i="5" s="1"/>
  <c r="AC81" i="5"/>
  <c r="AD81" i="5" s="1"/>
  <c r="AC73" i="5"/>
  <c r="AD73" i="5" s="1"/>
  <c r="AC65" i="5"/>
  <c r="AD65" i="5" s="1"/>
  <c r="AC57" i="5"/>
  <c r="AD57" i="5" s="1"/>
  <c r="AC49" i="5"/>
  <c r="AD49" i="5" s="1"/>
  <c r="AC41" i="5"/>
  <c r="AD41" i="5" s="1"/>
  <c r="AC33" i="5"/>
  <c r="AD33" i="5" s="1"/>
  <c r="AC25" i="5"/>
  <c r="AD25" i="5" s="1"/>
  <c r="AC17" i="5"/>
  <c r="AD17" i="5" s="1"/>
  <c r="AC9" i="5"/>
  <c r="AD9" i="5" s="1"/>
  <c r="AC296" i="5"/>
  <c r="AD296" i="5" s="1"/>
  <c r="AC288" i="5"/>
  <c r="AD288" i="5" s="1"/>
  <c r="AC280" i="5"/>
  <c r="AD280" i="5" s="1"/>
  <c r="AC272" i="5"/>
  <c r="AD272" i="5" s="1"/>
  <c r="AC264" i="5"/>
  <c r="AD264" i="5" s="1"/>
  <c r="AC256" i="5"/>
  <c r="AD256" i="5" s="1"/>
  <c r="AC248" i="5"/>
  <c r="AD248" i="5" s="1"/>
  <c r="AC240" i="5"/>
  <c r="AD240" i="5" s="1"/>
  <c r="AC232" i="5"/>
  <c r="AD232" i="5" s="1"/>
  <c r="AC224" i="5"/>
  <c r="AD224" i="5" s="1"/>
  <c r="AC216" i="5"/>
  <c r="AD216" i="5" s="1"/>
  <c r="AC208" i="5"/>
  <c r="AD208" i="5" s="1"/>
  <c r="AC200" i="5"/>
  <c r="AD200" i="5" s="1"/>
  <c r="AC192" i="5"/>
  <c r="AD192" i="5" s="1"/>
  <c r="AC184" i="5"/>
  <c r="AD184" i="5" s="1"/>
  <c r="AC176" i="5"/>
  <c r="AD176" i="5" s="1"/>
  <c r="AC168" i="5"/>
  <c r="AD168" i="5" s="1"/>
  <c r="AC160" i="5"/>
  <c r="AD160" i="5" s="1"/>
  <c r="AC152" i="5"/>
  <c r="AD152" i="5" s="1"/>
  <c r="AC144" i="5"/>
  <c r="AD144" i="5" s="1"/>
  <c r="AC136" i="5"/>
  <c r="AD136" i="5" s="1"/>
  <c r="AC128" i="5"/>
  <c r="AD128" i="5" s="1"/>
  <c r="AC120" i="5"/>
  <c r="AD120" i="5" s="1"/>
  <c r="AC112" i="5"/>
  <c r="AD112" i="5" s="1"/>
  <c r="AC104" i="5"/>
  <c r="AD104" i="5" s="1"/>
  <c r="AC96" i="5"/>
  <c r="AD96" i="5" s="1"/>
  <c r="AC88" i="5"/>
  <c r="AD88" i="5" s="1"/>
  <c r="AC80" i="5"/>
  <c r="AD80" i="5" s="1"/>
  <c r="AC72" i="5"/>
  <c r="AD72" i="5" s="1"/>
  <c r="AC64" i="5"/>
  <c r="AD64" i="5" s="1"/>
  <c r="AC56" i="5"/>
  <c r="AD56" i="5" s="1"/>
  <c r="AC48" i="5"/>
  <c r="AD48" i="5" s="1"/>
  <c r="AC40" i="5"/>
  <c r="AD40" i="5" s="1"/>
  <c r="AC32" i="5"/>
  <c r="AD32" i="5" s="1"/>
  <c r="AC24" i="5"/>
  <c r="AD24" i="5" s="1"/>
  <c r="AC16" i="5"/>
  <c r="AD16" i="5" s="1"/>
  <c r="AC8" i="5"/>
  <c r="AD8" i="5" s="1"/>
  <c r="AC295" i="5"/>
  <c r="AD295" i="5" s="1"/>
  <c r="AC287" i="5"/>
  <c r="AD287" i="5" s="1"/>
  <c r="AC279" i="5"/>
  <c r="AD279" i="5" s="1"/>
  <c r="AC271" i="5"/>
  <c r="AD271" i="5" s="1"/>
  <c r="AC263" i="5"/>
  <c r="AD263" i="5" s="1"/>
  <c r="AC255" i="5"/>
  <c r="AD255" i="5" s="1"/>
  <c r="AC247" i="5"/>
  <c r="AD247" i="5" s="1"/>
  <c r="AC239" i="5"/>
  <c r="AD239" i="5" s="1"/>
  <c r="AC231" i="5"/>
  <c r="AD231" i="5" s="1"/>
  <c r="AC223" i="5"/>
  <c r="AD223" i="5" s="1"/>
  <c r="AC215" i="5"/>
  <c r="AD215" i="5" s="1"/>
  <c r="AC207" i="5"/>
  <c r="AD207" i="5" s="1"/>
  <c r="AC199" i="5"/>
  <c r="AD199" i="5" s="1"/>
  <c r="AC191" i="5"/>
  <c r="AD191" i="5" s="1"/>
  <c r="AC183" i="5"/>
  <c r="AD183" i="5" s="1"/>
  <c r="AC175" i="5"/>
  <c r="AD175" i="5" s="1"/>
  <c r="AC167" i="5"/>
  <c r="AD167" i="5" s="1"/>
  <c r="AC159" i="5"/>
  <c r="AD159" i="5" s="1"/>
  <c r="AC151" i="5"/>
  <c r="AD151" i="5" s="1"/>
  <c r="AC143" i="5"/>
  <c r="AD143" i="5" s="1"/>
  <c r="AC135" i="5"/>
  <c r="AD135" i="5" s="1"/>
  <c r="AC127" i="5"/>
  <c r="AD127" i="5" s="1"/>
  <c r="AC119" i="5"/>
  <c r="AD119" i="5" s="1"/>
  <c r="AC111" i="5"/>
  <c r="AD111" i="5" s="1"/>
  <c r="AC103" i="5"/>
  <c r="AD103" i="5" s="1"/>
  <c r="AC95" i="5"/>
  <c r="AD95" i="5" s="1"/>
  <c r="AC87" i="5"/>
  <c r="AD87" i="5" s="1"/>
  <c r="AC79" i="5"/>
  <c r="AD79" i="5" s="1"/>
  <c r="AC71" i="5"/>
  <c r="AD71" i="5" s="1"/>
  <c r="AC63" i="5"/>
  <c r="AD63" i="5" s="1"/>
  <c r="AC55" i="5"/>
  <c r="AD55" i="5" s="1"/>
  <c r="AC47" i="5"/>
  <c r="AD47" i="5" s="1"/>
  <c r="AC39" i="5"/>
  <c r="AD39" i="5" s="1"/>
  <c r="AC31" i="5"/>
  <c r="AD31" i="5" s="1"/>
  <c r="AC23" i="5"/>
  <c r="AD23" i="5" s="1"/>
  <c r="AC15" i="5"/>
  <c r="AD15" i="5" s="1"/>
  <c r="AC7" i="5"/>
  <c r="AD7" i="5" s="1"/>
  <c r="AC294" i="5"/>
  <c r="AD294" i="5" s="1"/>
  <c r="AC286" i="5"/>
  <c r="AD286" i="5" s="1"/>
  <c r="AC278" i="5"/>
  <c r="AD278" i="5" s="1"/>
  <c r="AC270" i="5"/>
  <c r="AD270" i="5" s="1"/>
  <c r="AC262" i="5"/>
  <c r="AD262" i="5" s="1"/>
  <c r="AC254" i="5"/>
  <c r="AD254" i="5" s="1"/>
  <c r="AC246" i="5"/>
  <c r="AD246" i="5" s="1"/>
  <c r="AC238" i="5"/>
  <c r="AD238" i="5" s="1"/>
  <c r="AC230" i="5"/>
  <c r="AD230" i="5" s="1"/>
  <c r="AC222" i="5"/>
  <c r="AD222" i="5" s="1"/>
  <c r="AC214" i="5"/>
  <c r="AD214" i="5" s="1"/>
  <c r="AC206" i="5"/>
  <c r="AD206" i="5" s="1"/>
  <c r="AC198" i="5"/>
  <c r="AD198" i="5" s="1"/>
  <c r="AC190" i="5"/>
  <c r="AD190" i="5" s="1"/>
  <c r="AC182" i="5"/>
  <c r="AD182" i="5" s="1"/>
  <c r="AC174" i="5"/>
  <c r="AD174" i="5" s="1"/>
  <c r="AC166" i="5"/>
  <c r="AD166" i="5" s="1"/>
  <c r="AC158" i="5"/>
  <c r="AD158" i="5" s="1"/>
  <c r="AC150" i="5"/>
  <c r="AD150" i="5" s="1"/>
  <c r="AC142" i="5"/>
  <c r="AD142" i="5" s="1"/>
  <c r="AC134" i="5"/>
  <c r="AD134" i="5" s="1"/>
  <c r="AC126" i="5"/>
  <c r="AD126" i="5" s="1"/>
  <c r="AC118" i="5"/>
  <c r="AD118" i="5" s="1"/>
  <c r="AC110" i="5"/>
  <c r="AD110" i="5" s="1"/>
  <c r="AC102" i="5"/>
  <c r="AD102" i="5" s="1"/>
  <c r="AC94" i="5"/>
  <c r="AD94" i="5" s="1"/>
  <c r="AC86" i="5"/>
  <c r="AD86" i="5" s="1"/>
  <c r="AC78" i="5"/>
  <c r="AD78" i="5" s="1"/>
  <c r="AC70" i="5"/>
  <c r="AD70" i="5" s="1"/>
  <c r="AC62" i="5"/>
  <c r="AD62" i="5" s="1"/>
  <c r="AC54" i="5"/>
  <c r="AD54" i="5" s="1"/>
  <c r="AC46" i="5"/>
  <c r="AD46" i="5" s="1"/>
  <c r="AC38" i="5"/>
  <c r="AD38" i="5" s="1"/>
  <c r="AC30" i="5"/>
  <c r="AD30" i="5" s="1"/>
  <c r="AC22" i="5"/>
  <c r="AD22" i="5" s="1"/>
  <c r="AC14" i="5"/>
  <c r="AD14" i="5" s="1"/>
  <c r="AC6" i="5"/>
  <c r="AD6" i="5" s="1"/>
  <c r="AC301" i="5"/>
  <c r="AD301" i="5" s="1"/>
  <c r="AC293" i="5"/>
  <c r="AD293" i="5" s="1"/>
  <c r="AC285" i="5"/>
  <c r="AD285" i="5" s="1"/>
  <c r="AC277" i="5"/>
  <c r="AD277" i="5" s="1"/>
  <c r="AC269" i="5"/>
  <c r="AD269" i="5" s="1"/>
  <c r="AC261" i="5"/>
  <c r="AD261" i="5" s="1"/>
  <c r="AC253" i="5"/>
  <c r="AD253" i="5" s="1"/>
  <c r="AC245" i="5"/>
  <c r="AD245" i="5" s="1"/>
  <c r="AC237" i="5"/>
  <c r="AD237" i="5" s="1"/>
  <c r="AC229" i="5"/>
  <c r="AD229" i="5" s="1"/>
  <c r="AC221" i="5"/>
  <c r="AD221" i="5" s="1"/>
  <c r="AC213" i="5"/>
  <c r="AD213" i="5" s="1"/>
  <c r="AC205" i="5"/>
  <c r="AD205" i="5" s="1"/>
  <c r="AC197" i="5"/>
  <c r="AD197" i="5" s="1"/>
  <c r="AC189" i="5"/>
  <c r="AD189" i="5" s="1"/>
  <c r="AC181" i="5"/>
  <c r="AD181" i="5" s="1"/>
  <c r="AC173" i="5"/>
  <c r="AD173" i="5" s="1"/>
  <c r="AC165" i="5"/>
  <c r="AD165" i="5" s="1"/>
  <c r="AC157" i="5"/>
  <c r="AD157" i="5" s="1"/>
  <c r="AC149" i="5"/>
  <c r="AD149" i="5" s="1"/>
  <c r="AC141" i="5"/>
  <c r="AD141" i="5" s="1"/>
  <c r="AC133" i="5"/>
  <c r="AD133" i="5" s="1"/>
  <c r="AC125" i="5"/>
  <c r="AD125" i="5" s="1"/>
  <c r="AC117" i="5"/>
  <c r="AD117" i="5" s="1"/>
  <c r="AC109" i="5"/>
  <c r="AD109" i="5" s="1"/>
  <c r="AC101" i="5"/>
  <c r="AD101" i="5" s="1"/>
  <c r="AC93" i="5"/>
  <c r="AD93" i="5" s="1"/>
  <c r="AC85" i="5"/>
  <c r="AD85" i="5" s="1"/>
  <c r="AC77" i="5"/>
  <c r="AD77" i="5" s="1"/>
  <c r="AC69" i="5"/>
  <c r="AD69" i="5" s="1"/>
  <c r="AC61" i="5"/>
  <c r="AD61" i="5" s="1"/>
  <c r="AC53" i="5"/>
  <c r="AD53" i="5" s="1"/>
  <c r="AC45" i="5"/>
  <c r="AD45" i="5" s="1"/>
  <c r="AC37" i="5"/>
  <c r="AD37" i="5" s="1"/>
  <c r="AC29" i="5"/>
  <c r="AD29" i="5" s="1"/>
  <c r="AC21" i="5"/>
  <c r="AD21" i="5" s="1"/>
  <c r="AC13" i="5"/>
  <c r="AD13" i="5" s="1"/>
  <c r="AC5" i="5"/>
  <c r="AD5" i="5" s="1"/>
  <c r="AC300" i="5"/>
  <c r="AD300" i="5" s="1"/>
  <c r="AC292" i="5"/>
  <c r="AD292" i="5" s="1"/>
  <c r="AC284" i="5"/>
  <c r="AD284" i="5" s="1"/>
  <c r="AC276" i="5"/>
  <c r="AD276" i="5" s="1"/>
  <c r="AC268" i="5"/>
  <c r="AD268" i="5" s="1"/>
  <c r="AC260" i="5"/>
  <c r="AD260" i="5" s="1"/>
  <c r="AC252" i="5"/>
  <c r="AD252" i="5" s="1"/>
  <c r="AC244" i="5"/>
  <c r="AD244" i="5" s="1"/>
  <c r="AC236" i="5"/>
  <c r="AD236" i="5" s="1"/>
  <c r="AC228" i="5"/>
  <c r="AD228" i="5" s="1"/>
  <c r="AC220" i="5"/>
  <c r="AD220" i="5" s="1"/>
  <c r="AC212" i="5"/>
  <c r="AD212" i="5" s="1"/>
  <c r="AC204" i="5"/>
  <c r="AD204" i="5" s="1"/>
  <c r="AC196" i="5"/>
  <c r="AD196" i="5" s="1"/>
  <c r="AC188" i="5"/>
  <c r="AD188" i="5" s="1"/>
  <c r="AC180" i="5"/>
  <c r="AD180" i="5" s="1"/>
  <c r="AC172" i="5"/>
  <c r="AD172" i="5" s="1"/>
  <c r="AC164" i="5"/>
  <c r="AD164" i="5" s="1"/>
  <c r="AC156" i="5"/>
  <c r="AD156" i="5" s="1"/>
  <c r="AC148" i="5"/>
  <c r="AD148" i="5" s="1"/>
  <c r="AC140" i="5"/>
  <c r="AD140" i="5" s="1"/>
  <c r="AC132" i="5"/>
  <c r="AD132" i="5" s="1"/>
  <c r="AC124" i="5"/>
  <c r="AD124" i="5" s="1"/>
  <c r="AC116" i="5"/>
  <c r="AD116" i="5" s="1"/>
  <c r="AC108" i="5"/>
  <c r="AD108" i="5" s="1"/>
  <c r="AC100" i="5"/>
  <c r="AD100" i="5" s="1"/>
  <c r="AC92" i="5"/>
  <c r="AD92" i="5" s="1"/>
  <c r="AC84" i="5"/>
  <c r="AD84" i="5" s="1"/>
  <c r="AC76" i="5"/>
  <c r="AD76" i="5" s="1"/>
  <c r="AC68" i="5"/>
  <c r="AD68" i="5" s="1"/>
  <c r="AC60" i="5"/>
  <c r="AD60" i="5" s="1"/>
  <c r="AC52" i="5"/>
  <c r="AD52" i="5" s="1"/>
  <c r="AC44" i="5"/>
  <c r="AD44" i="5" s="1"/>
  <c r="AC36" i="5"/>
  <c r="AD36" i="5" s="1"/>
  <c r="AC28" i="5"/>
  <c r="AD28" i="5" s="1"/>
  <c r="AC20" i="5"/>
  <c r="AD20" i="5" s="1"/>
  <c r="AC12" i="5"/>
  <c r="AD12" i="5" s="1"/>
  <c r="AC4" i="5"/>
  <c r="AD4" i="5" s="1"/>
  <c r="AC299" i="5"/>
  <c r="AD299" i="5" s="1"/>
  <c r="AC291" i="5"/>
  <c r="AD291" i="5" s="1"/>
  <c r="AC283" i="5"/>
  <c r="AD283" i="5" s="1"/>
  <c r="AC275" i="5"/>
  <c r="AD275" i="5" s="1"/>
  <c r="AC267" i="5"/>
  <c r="AD267" i="5" s="1"/>
  <c r="AC259" i="5"/>
  <c r="AD259" i="5" s="1"/>
  <c r="AC251" i="5"/>
  <c r="AD251" i="5" s="1"/>
  <c r="AC243" i="5"/>
  <c r="AD243" i="5" s="1"/>
  <c r="AC235" i="5"/>
  <c r="AD235" i="5" s="1"/>
  <c r="AC227" i="5"/>
  <c r="AD227" i="5" s="1"/>
  <c r="AC219" i="5"/>
  <c r="AD219" i="5" s="1"/>
  <c r="AC211" i="5"/>
  <c r="AD211" i="5" s="1"/>
  <c r="AC203" i="5"/>
  <c r="AD203" i="5" s="1"/>
  <c r="AC195" i="5"/>
  <c r="AD195" i="5" s="1"/>
  <c r="AC187" i="5"/>
  <c r="AD187" i="5" s="1"/>
  <c r="AC179" i="5"/>
  <c r="AD179" i="5" s="1"/>
  <c r="AC171" i="5"/>
  <c r="AD171" i="5" s="1"/>
  <c r="AC163" i="5"/>
  <c r="AD163" i="5" s="1"/>
  <c r="AC155" i="5"/>
  <c r="AD155" i="5" s="1"/>
  <c r="AC147" i="5"/>
  <c r="AD147" i="5" s="1"/>
  <c r="AC139" i="5"/>
  <c r="AD139" i="5" s="1"/>
  <c r="AC131" i="5"/>
  <c r="AD131" i="5" s="1"/>
  <c r="AC123" i="5"/>
  <c r="AD123" i="5" s="1"/>
  <c r="AC115" i="5"/>
  <c r="AD115" i="5" s="1"/>
  <c r="AC107" i="5"/>
  <c r="AD107" i="5" s="1"/>
  <c r="AC99" i="5"/>
  <c r="AD99" i="5" s="1"/>
  <c r="AC91" i="5"/>
  <c r="AD91" i="5" s="1"/>
  <c r="AC83" i="5"/>
  <c r="AD83" i="5" s="1"/>
  <c r="AC75" i="5"/>
  <c r="AD75" i="5" s="1"/>
  <c r="AC67" i="5"/>
  <c r="AD67" i="5" s="1"/>
  <c r="AC59" i="5"/>
  <c r="AD59" i="5" s="1"/>
  <c r="AC51" i="5"/>
  <c r="AD51" i="5" s="1"/>
  <c r="AC43" i="5"/>
  <c r="AD43" i="5" s="1"/>
  <c r="AC35" i="5"/>
  <c r="AD35" i="5" s="1"/>
  <c r="AC27" i="5"/>
  <c r="AD27" i="5" s="1"/>
  <c r="AC19" i="5"/>
  <c r="AD19" i="5" s="1"/>
  <c r="AC11" i="5"/>
  <c r="AD11" i="5" s="1"/>
  <c r="AC3" i="5"/>
  <c r="AD3" i="5" s="1"/>
  <c r="AC298" i="5"/>
  <c r="AD298" i="5" s="1"/>
  <c r="AC290" i="5"/>
  <c r="AD290" i="5" s="1"/>
  <c r="AC282" i="5"/>
  <c r="AD282" i="5" s="1"/>
  <c r="AC274" i="5"/>
  <c r="AD274" i="5" s="1"/>
  <c r="AC266" i="5"/>
  <c r="AD266" i="5" s="1"/>
  <c r="AC258" i="5"/>
  <c r="AD258" i="5" s="1"/>
  <c r="AC250" i="5"/>
  <c r="AD250" i="5" s="1"/>
  <c r="AC242" i="5"/>
  <c r="AD242" i="5" s="1"/>
  <c r="AC234" i="5"/>
  <c r="AD234" i="5" s="1"/>
  <c r="AC226" i="5"/>
  <c r="AD226" i="5" s="1"/>
  <c r="AC218" i="5"/>
  <c r="AD218" i="5" s="1"/>
  <c r="AC210" i="5"/>
  <c r="AD210" i="5" s="1"/>
  <c r="AC202" i="5"/>
  <c r="AD202" i="5" s="1"/>
  <c r="AC194" i="5"/>
  <c r="AD194" i="5" s="1"/>
  <c r="AC186" i="5"/>
  <c r="AD186" i="5" s="1"/>
  <c r="AC178" i="5"/>
  <c r="AD178" i="5" s="1"/>
  <c r="AC170" i="5"/>
  <c r="AD170" i="5" s="1"/>
  <c r="AC162" i="5"/>
  <c r="AD162" i="5" s="1"/>
  <c r="AC154" i="5"/>
  <c r="AD154" i="5" s="1"/>
  <c r="AC146" i="5"/>
  <c r="AD146" i="5" s="1"/>
  <c r="AC138" i="5"/>
  <c r="AD138" i="5" s="1"/>
  <c r="AC130" i="5"/>
  <c r="AD130" i="5" s="1"/>
  <c r="AC122" i="5"/>
  <c r="AD122" i="5" s="1"/>
  <c r="AC114" i="5"/>
  <c r="AD114" i="5" s="1"/>
  <c r="AC106" i="5"/>
  <c r="AD106" i="5" s="1"/>
  <c r="AC98" i="5"/>
  <c r="AD98" i="5" s="1"/>
  <c r="AC90" i="5"/>
  <c r="AD90" i="5" s="1"/>
  <c r="AC82" i="5"/>
  <c r="AD82" i="5" s="1"/>
  <c r="AC74" i="5"/>
  <c r="AD74" i="5" s="1"/>
  <c r="AC66" i="5"/>
  <c r="AD66" i="5" s="1"/>
  <c r="AC58" i="5"/>
  <c r="AD58" i="5" s="1"/>
  <c r="AC50" i="5"/>
  <c r="AD50" i="5" s="1"/>
  <c r="AC42" i="5"/>
  <c r="AD42" i="5" s="1"/>
  <c r="AC34" i="5"/>
  <c r="AD34" i="5" s="1"/>
  <c r="AC26" i="5"/>
  <c r="AD26" i="5" s="1"/>
  <c r="AC18" i="5"/>
  <c r="AD18" i="5" s="1"/>
  <c r="AC10" i="5"/>
  <c r="AD10" i="5" s="1"/>
  <c r="AC2" i="5"/>
  <c r="AD2"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DA60AC-B4CC-4015-BCC7-F3F20B6F31D0}"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573777E1-058A-48E4-8A77-02F8BF2AA82D}" keepAlive="1" name="Query - Table1_2" description="Connection to the 'Table1_2' query in the workbook." type="5" refreshedVersion="7" background="1" saveData="1">
    <dbPr connection="Provider=Microsoft.Mashup.OleDb.1;Data Source=$Workbook$;Location=Table1_2;Extended Properties=&quot;&quot;" command="SELECT * FROM [Table1_2]"/>
  </connection>
</connections>
</file>

<file path=xl/sharedStrings.xml><?xml version="1.0" encoding="utf-8"?>
<sst xmlns="http://schemas.openxmlformats.org/spreadsheetml/2006/main" count="6006" uniqueCount="944">
  <si>
    <t>Employee_ID</t>
  </si>
  <si>
    <t>Full Name</t>
  </si>
  <si>
    <t>Age</t>
  </si>
  <si>
    <t>Gender</t>
  </si>
  <si>
    <t>Department</t>
  </si>
  <si>
    <t>State</t>
  </si>
  <si>
    <t>BMI</t>
  </si>
  <si>
    <t>Blood_Pressure_Systolic</t>
  </si>
  <si>
    <t>Blood_Pressure_Diastolic</t>
  </si>
  <si>
    <t>Cholesterol_Level</t>
  </si>
  <si>
    <t>Blood_Glucose</t>
  </si>
  <si>
    <t>Smoking_Status</t>
  </si>
  <si>
    <t>Physical_Activity_Days_Per_Week</t>
  </si>
  <si>
    <t>Mental_Health_Score</t>
  </si>
  <si>
    <t>Health_Insurance</t>
  </si>
  <si>
    <t>Last_Checkup_Date</t>
  </si>
  <si>
    <t>Sick_Days_2023</t>
  </si>
  <si>
    <t>Sick_Days_2024</t>
  </si>
  <si>
    <t>Chronic_Condition</t>
  </si>
  <si>
    <t>Vaccination_Status</t>
  </si>
  <si>
    <t>EMP0001</t>
  </si>
  <si>
    <t>Tunde Okafor</t>
  </si>
  <si>
    <t>F</t>
  </si>
  <si>
    <t>Operations</t>
  </si>
  <si>
    <t>Rivers</t>
  </si>
  <si>
    <t>Yes</t>
  </si>
  <si>
    <t>NO</t>
  </si>
  <si>
    <t>09/07/2021</t>
  </si>
  <si>
    <t>diabetes</t>
  </si>
  <si>
    <t>YES</t>
  </si>
  <si>
    <t>EMP0002</t>
  </si>
  <si>
    <t>Ayo Onwuka</t>
  </si>
  <si>
    <t>Male</t>
  </si>
  <si>
    <t>IT</t>
  </si>
  <si>
    <t>ABUJA</t>
  </si>
  <si>
    <t>No</t>
  </si>
  <si>
    <t>no</t>
  </si>
  <si>
    <t>10/09/2023</t>
  </si>
  <si>
    <t>Obesity</t>
  </si>
  <si>
    <t>EMP0003</t>
  </si>
  <si>
    <t>Musa Balogun</t>
  </si>
  <si>
    <t>male</t>
  </si>
  <si>
    <t>IT Department</t>
  </si>
  <si>
    <t>Lagos State</t>
  </si>
  <si>
    <t>1</t>
  </si>
  <si>
    <t>08/21/2023</t>
  </si>
  <si>
    <t>none</t>
  </si>
  <si>
    <t>partial</t>
  </si>
  <si>
    <t>EMP0004</t>
  </si>
  <si>
    <t>Fatima Olawale</t>
  </si>
  <si>
    <t>M</t>
  </si>
  <si>
    <t>FINANCE</t>
  </si>
  <si>
    <t>Kano</t>
  </si>
  <si>
    <t>07/09/2023</t>
  </si>
  <si>
    <t>N/A</t>
  </si>
  <si>
    <t>EMP0005</t>
  </si>
  <si>
    <t>Fatima Sule</t>
  </si>
  <si>
    <t>Ogun</t>
  </si>
  <si>
    <t>never</t>
  </si>
  <si>
    <t>02/25/2024</t>
  </si>
  <si>
    <t>Asthma</t>
  </si>
  <si>
    <t>Partial</t>
  </si>
  <si>
    <t>EMP0006</t>
  </si>
  <si>
    <t>Chioma Taiwo</t>
  </si>
  <si>
    <t>Non-Binary</t>
  </si>
  <si>
    <t>Legal</t>
  </si>
  <si>
    <t>Delta</t>
  </si>
  <si>
    <t>everyday</t>
  </si>
  <si>
    <t>yes</t>
  </si>
  <si>
    <t>02/10/2023</t>
  </si>
  <si>
    <t>hypertension</t>
  </si>
  <si>
    <t>EMP0007</t>
  </si>
  <si>
    <t>Seun Mbeki</t>
  </si>
  <si>
    <t>Female</t>
  </si>
  <si>
    <t>Sales</t>
  </si>
  <si>
    <t>Oyo</t>
  </si>
  <si>
    <t>0</t>
  </si>
  <si>
    <t>01/04/2024</t>
  </si>
  <si>
    <t>None</t>
  </si>
  <si>
    <t>EMP0008</t>
  </si>
  <si>
    <t>Uche Onwuka</t>
  </si>
  <si>
    <t>hr</t>
  </si>
  <si>
    <t>Abuja</t>
  </si>
  <si>
    <t>04/18/2024</t>
  </si>
  <si>
    <t>EMP0009</t>
  </si>
  <si>
    <t>Ayo Mbeki</t>
  </si>
  <si>
    <t>Former</t>
  </si>
  <si>
    <t>02/02/2022</t>
  </si>
  <si>
    <t>EMP0010</t>
  </si>
  <si>
    <t>Seun Sule</t>
  </si>
  <si>
    <t>rivers</t>
  </si>
  <si>
    <t>12/02/2024</t>
  </si>
  <si>
    <t>Hypertension</t>
  </si>
  <si>
    <t>EMP0011</t>
  </si>
  <si>
    <t>Musa Fashola</t>
  </si>
  <si>
    <t>01/21/2021</t>
  </si>
  <si>
    <t>EMP0012</t>
  </si>
  <si>
    <t>Bello Lawal</t>
  </si>
  <si>
    <t>03/07/2024</t>
  </si>
  <si>
    <t>Diabetes</t>
  </si>
  <si>
    <t>Unknown</t>
  </si>
  <si>
    <t>EMP0013</t>
  </si>
  <si>
    <t>Emeka Fashola</t>
  </si>
  <si>
    <t>07/04/2022</t>
  </si>
  <si>
    <t>EMP0014</t>
  </si>
  <si>
    <t>Femi Balogun</t>
  </si>
  <si>
    <t>FEMALE</t>
  </si>
  <si>
    <t>Never</t>
  </si>
  <si>
    <t>02/01/2023</t>
  </si>
  <si>
    <t>EMP0015</t>
  </si>
  <si>
    <t>Ngozi Hassan</t>
  </si>
  <si>
    <t>11/04/2023</t>
  </si>
  <si>
    <t>EMP0016</t>
  </si>
  <si>
    <t>Dayo Eze</t>
  </si>
  <si>
    <t>05/02/2024</t>
  </si>
  <si>
    <t>EMP0017</t>
  </si>
  <si>
    <t>Bello Dike</t>
  </si>
  <si>
    <t>Lagos</t>
  </si>
  <si>
    <t>01/10/2022</t>
  </si>
  <si>
    <t>EMP0018</t>
  </si>
  <si>
    <t>Uche Nwosu</t>
  </si>
  <si>
    <t>05/06/2022</t>
  </si>
  <si>
    <t>EMP0019</t>
  </si>
  <si>
    <t>Uche Okonkwo</t>
  </si>
  <si>
    <t>01/04/2023</t>
  </si>
  <si>
    <t>EMP0020</t>
  </si>
  <si>
    <t>Emeka Nwosu</t>
  </si>
  <si>
    <t>Marketing</t>
  </si>
  <si>
    <t>09/26/2021</t>
  </si>
  <si>
    <t>EMP0021</t>
  </si>
  <si>
    <t>Ngozi Fashola</t>
  </si>
  <si>
    <t>Finance</t>
  </si>
  <si>
    <t>11/13/2024</t>
  </si>
  <si>
    <t>EMP0022</t>
  </si>
  <si>
    <t>Musa Hassan</t>
  </si>
  <si>
    <t>05/17/2021</t>
  </si>
  <si>
    <t>EMP0023</t>
  </si>
  <si>
    <t>Uche Igwe</t>
  </si>
  <si>
    <t>08/13/2024</t>
  </si>
  <si>
    <t>EMP0024</t>
  </si>
  <si>
    <t>Tunde Lawal</t>
  </si>
  <si>
    <t>10/27/2024</t>
  </si>
  <si>
    <t>Bello Sule</t>
  </si>
  <si>
    <t>06/11/2023</t>
  </si>
  <si>
    <t>EMP0026</t>
  </si>
  <si>
    <t>Uche Obi</t>
  </si>
  <si>
    <t>08/01/2024</t>
  </si>
  <si>
    <t>EMP0027</t>
  </si>
  <si>
    <t>Dayo Hassan</t>
  </si>
  <si>
    <t>07/19/2021</t>
  </si>
  <si>
    <t>EMP0028</t>
  </si>
  <si>
    <t>Amaka Dike</t>
  </si>
  <si>
    <t>01/24/2024</t>
  </si>
  <si>
    <t>EMP0029</t>
  </si>
  <si>
    <t>Ngozi Adeyemi</t>
  </si>
  <si>
    <t>06/06/2023</t>
  </si>
  <si>
    <t>EMP0030</t>
  </si>
  <si>
    <t>Ada Nwosu</t>
  </si>
  <si>
    <t>01/15/2023</t>
  </si>
  <si>
    <t>EMP0031</t>
  </si>
  <si>
    <t>Chioma Yakubu</t>
  </si>
  <si>
    <t>HR</t>
  </si>
  <si>
    <t>10/26/2023</t>
  </si>
  <si>
    <t>EMP0032</t>
  </si>
  <si>
    <t>Nkem Olawale</t>
  </si>
  <si>
    <t>04/12/2024</t>
  </si>
  <si>
    <t>NONE</t>
  </si>
  <si>
    <t>EMP0033</t>
  </si>
  <si>
    <t>Dayo Okafor</t>
  </si>
  <si>
    <t>02/10/2021</t>
  </si>
  <si>
    <t>EMP0034</t>
  </si>
  <si>
    <t>Nkem Yakubu</t>
  </si>
  <si>
    <t>12/18/2021</t>
  </si>
  <si>
    <t>EMP0035</t>
  </si>
  <si>
    <t>Seun Onwuka</t>
  </si>
  <si>
    <t>09/10/2021</t>
  </si>
  <si>
    <t>EMP0036</t>
  </si>
  <si>
    <t>Chukwu Onwuka</t>
  </si>
  <si>
    <t>03/05/2021</t>
  </si>
  <si>
    <t>EMP0037</t>
  </si>
  <si>
    <t>Tunde Hassan</t>
  </si>
  <si>
    <t>11/07/2022</t>
  </si>
  <si>
    <t>EMP0038</t>
  </si>
  <si>
    <t>Bello Hassan</t>
  </si>
  <si>
    <t>05/26/2022</t>
  </si>
  <si>
    <t>EMP0039</t>
  </si>
  <si>
    <t>Chioma Nwosu</t>
  </si>
  <si>
    <t>08/23/2021</t>
  </si>
  <si>
    <t>EMP0040</t>
  </si>
  <si>
    <t>Dayo Sule</t>
  </si>
  <si>
    <t>10/02/2023</t>
  </si>
  <si>
    <t>EMP0041</t>
  </si>
  <si>
    <t>Seun Aliyu</t>
  </si>
  <si>
    <t>05/22/2024</t>
  </si>
  <si>
    <t>EMP0042</t>
  </si>
  <si>
    <t>11/15/2024</t>
  </si>
  <si>
    <t>EMP0043</t>
  </si>
  <si>
    <t>Amaka Igwe</t>
  </si>
  <si>
    <t>04/27/2021</t>
  </si>
  <si>
    <t>EMP0044</t>
  </si>
  <si>
    <t>Ibrahim Igwe</t>
  </si>
  <si>
    <t>05/25/2021</t>
  </si>
  <si>
    <t>EMP0045</t>
  </si>
  <si>
    <t>Chukwu Igwe</t>
  </si>
  <si>
    <t>04/28/2024</t>
  </si>
  <si>
    <t>EMP0046</t>
  </si>
  <si>
    <t>Musa Obi</t>
  </si>
  <si>
    <t>11/05/2024</t>
  </si>
  <si>
    <t>EMP0047</t>
  </si>
  <si>
    <t>Femi Obi</t>
  </si>
  <si>
    <t>07/04/2021</t>
  </si>
  <si>
    <t>EMP0048</t>
  </si>
  <si>
    <t>Ada Okafor</t>
  </si>
  <si>
    <t>02/20/2022</t>
  </si>
  <si>
    <t>EMP0049</t>
  </si>
  <si>
    <t>Ibrahim Onwuka</t>
  </si>
  <si>
    <t>10/10/2023</t>
  </si>
  <si>
    <t>Ada Okonkwo</t>
  </si>
  <si>
    <t>10/28/2021</t>
  </si>
  <si>
    <t>EMP0051</t>
  </si>
  <si>
    <t>Uche Taiwo</t>
  </si>
  <si>
    <t>12/05/2023</t>
  </si>
  <si>
    <t>EMP0052</t>
  </si>
  <si>
    <t>Bello Okonkwo</t>
  </si>
  <si>
    <t>04/28/2022</t>
  </si>
  <si>
    <t>EMP0053</t>
  </si>
  <si>
    <t>Musa Okafor</t>
  </si>
  <si>
    <t>10/18/2021</t>
  </si>
  <si>
    <t>EMP0054</t>
  </si>
  <si>
    <t>Ayo Igwe</t>
  </si>
  <si>
    <t>06/22/2024</t>
  </si>
  <si>
    <t>EMP0055</t>
  </si>
  <si>
    <t>07/09/2021</t>
  </si>
  <si>
    <t>EMP0056</t>
  </si>
  <si>
    <t>Fatima Taiwo</t>
  </si>
  <si>
    <t>05/28/2021</t>
  </si>
  <si>
    <t>EMP0057</t>
  </si>
  <si>
    <t>Bello Nwosu</t>
  </si>
  <si>
    <t>09/04/2024</t>
  </si>
  <si>
    <t>EMP0058</t>
  </si>
  <si>
    <t>Blessing Onwuka</t>
  </si>
  <si>
    <t>07/14/2024</t>
  </si>
  <si>
    <t>EMP0059</t>
  </si>
  <si>
    <t>02/26/2024</t>
  </si>
  <si>
    <t>EMP0060</t>
  </si>
  <si>
    <t>Fatima Lawal</t>
  </si>
  <si>
    <t>EMP0061</t>
  </si>
  <si>
    <t>Dayo Adeyemi</t>
  </si>
  <si>
    <t>11/16/2022</t>
  </si>
  <si>
    <t>EMP0062</t>
  </si>
  <si>
    <t>Zainab Nwosu</t>
  </si>
  <si>
    <t>01/06/2023</t>
  </si>
  <si>
    <t>EMP0063</t>
  </si>
  <si>
    <t>Ngozi Eze</t>
  </si>
  <si>
    <t>03/06/2021</t>
  </si>
  <si>
    <t>EMP0064</t>
  </si>
  <si>
    <t>Seun Dike</t>
  </si>
  <si>
    <t>01/08/2023</t>
  </si>
  <si>
    <t>EMP0065</t>
  </si>
  <si>
    <t>Fatima Igwe</t>
  </si>
  <si>
    <t>02/13/2023</t>
  </si>
  <si>
    <t>EMP0066</t>
  </si>
  <si>
    <t>02/14/2023</t>
  </si>
  <si>
    <t>EMP0067</t>
  </si>
  <si>
    <t>Blessing Balogun</t>
  </si>
  <si>
    <t>06/24/2023</t>
  </si>
  <si>
    <t>EMP0068</t>
  </si>
  <si>
    <t>Amaka Olawale</t>
  </si>
  <si>
    <t>03/15/2023</t>
  </si>
  <si>
    <t>EMP0069</t>
  </si>
  <si>
    <t>10/18/2024</t>
  </si>
  <si>
    <t>EMP0070</t>
  </si>
  <si>
    <t>Kola Taiwo</t>
  </si>
  <si>
    <t>09/17/2024</t>
  </si>
  <si>
    <t>EMP0071</t>
  </si>
  <si>
    <t>Ada Obi</t>
  </si>
  <si>
    <t>12/28/2023</t>
  </si>
  <si>
    <t>EMP0072</t>
  </si>
  <si>
    <t>Nkem Eze</t>
  </si>
  <si>
    <t>09/12/2024</t>
  </si>
  <si>
    <t>EMP0073</t>
  </si>
  <si>
    <t>Fatima Fashola</t>
  </si>
  <si>
    <t>03/06/2024</t>
  </si>
  <si>
    <t>EMP0074</t>
  </si>
  <si>
    <t>Emeka Lawal</t>
  </si>
  <si>
    <t>08/25/2024</t>
  </si>
  <si>
    <t>Chioma Aliyu</t>
  </si>
  <si>
    <t>08/17/2023</t>
  </si>
  <si>
    <t>EMP0076</t>
  </si>
  <si>
    <t>Ayo Yakubu</t>
  </si>
  <si>
    <t>03/05/2023</t>
  </si>
  <si>
    <t>EMP0077</t>
  </si>
  <si>
    <t>Ibrahim Dike</t>
  </si>
  <si>
    <t>01/08/2021</t>
  </si>
  <si>
    <t>EMP0078</t>
  </si>
  <si>
    <t>Ngozi Nwosu</t>
  </si>
  <si>
    <t>11/22/2022</t>
  </si>
  <si>
    <t>EMP0079</t>
  </si>
  <si>
    <t>Blessing Hassan</t>
  </si>
  <si>
    <t>10/24/2021</t>
  </si>
  <si>
    <t>EMP0080</t>
  </si>
  <si>
    <t>Dayo Fashola</t>
  </si>
  <si>
    <t>06/10/2021</t>
  </si>
  <si>
    <t>EMP0081</t>
  </si>
  <si>
    <t>Seun Adeyemi</t>
  </si>
  <si>
    <t>03/16/2023</t>
  </si>
  <si>
    <t>EMP0082</t>
  </si>
  <si>
    <t>Ngozi Lawal</t>
  </si>
  <si>
    <t>12/15/2022</t>
  </si>
  <si>
    <t>EMP0083</t>
  </si>
  <si>
    <t>Femi Lawal</t>
  </si>
  <si>
    <t>11/12/2022</t>
  </si>
  <si>
    <t>EMP0084</t>
  </si>
  <si>
    <t>Femi Eze</t>
  </si>
  <si>
    <t>01/24/2021</t>
  </si>
  <si>
    <t>EMP0085</t>
  </si>
  <si>
    <t>Dayo Nwosu</t>
  </si>
  <si>
    <t>EMP0086</t>
  </si>
  <si>
    <t>01/12/2024</t>
  </si>
  <si>
    <t>EMP0087</t>
  </si>
  <si>
    <t>08/15/2021</t>
  </si>
  <si>
    <t>EMP0088</t>
  </si>
  <si>
    <t>Nkem Aliyu</t>
  </si>
  <si>
    <t>02/09/2023</t>
  </si>
  <si>
    <t>EMP0089</t>
  </si>
  <si>
    <t>11/07/2023</t>
  </si>
  <si>
    <t>EMP0090</t>
  </si>
  <si>
    <t>Ibrahim Hassan</t>
  </si>
  <si>
    <t>March 2022</t>
  </si>
  <si>
    <t>EMP0091</t>
  </si>
  <si>
    <t>Zainab Obi</t>
  </si>
  <si>
    <t>05/13/2021</t>
  </si>
  <si>
    <t>EMP0092</t>
  </si>
  <si>
    <t>Kola Onwuka</t>
  </si>
  <si>
    <t>04/19/2022</t>
  </si>
  <si>
    <t>EMP0093</t>
  </si>
  <si>
    <t>Ibrahim Taiwo</t>
  </si>
  <si>
    <t>EMP0094</t>
  </si>
  <si>
    <t>Ngozi Obi</t>
  </si>
  <si>
    <t>04/20/2022</t>
  </si>
  <si>
    <t>EMP0095</t>
  </si>
  <si>
    <t>Emeka Adeyemi</t>
  </si>
  <si>
    <t>09/27/2023</t>
  </si>
  <si>
    <t>EMP0096</t>
  </si>
  <si>
    <t>Ibrahim Okafor</t>
  </si>
  <si>
    <t>03/17/2024</t>
  </si>
  <si>
    <t>EMP0097</t>
  </si>
  <si>
    <t>Uche Adeyemi</t>
  </si>
  <si>
    <t>12/05/2021</t>
  </si>
  <si>
    <t>EMP0098</t>
  </si>
  <si>
    <t>Ibrahim Mbeki</t>
  </si>
  <si>
    <t>05/18/2022</t>
  </si>
  <si>
    <t>EMP0099</t>
  </si>
  <si>
    <t>05/02/2022</t>
  </si>
  <si>
    <t>11/08/2022</t>
  </si>
  <si>
    <t>EMP0101</t>
  </si>
  <si>
    <t>Ibrahim Nwosu</t>
  </si>
  <si>
    <t>09/24/2022</t>
  </si>
  <si>
    <t>EMP0102</t>
  </si>
  <si>
    <t>Emeka Obi</t>
  </si>
  <si>
    <t>05/07/2024</t>
  </si>
  <si>
    <t>EMP0103</t>
  </si>
  <si>
    <t>EMP0104</t>
  </si>
  <si>
    <t>Seun Obi</t>
  </si>
  <si>
    <t>03/13/2023</t>
  </si>
  <si>
    <t>EMP0105</t>
  </si>
  <si>
    <t>Zainab Taiwo</t>
  </si>
  <si>
    <t>09/15/2021</t>
  </si>
  <si>
    <t>EMP0106</t>
  </si>
  <si>
    <t>Emeka Hassan</t>
  </si>
  <si>
    <t>01/15/2024</t>
  </si>
  <si>
    <t>EMP0107</t>
  </si>
  <si>
    <t>Nkem Adeyemi</t>
  </si>
  <si>
    <t>08/02/2021</t>
  </si>
  <si>
    <t>EMP0108</t>
  </si>
  <si>
    <t>01/25/2022</t>
  </si>
  <si>
    <t>EMP0109</t>
  </si>
  <si>
    <t>Chioma Hassan</t>
  </si>
  <si>
    <t>02/04/2022</t>
  </si>
  <si>
    <t>EMP0110</t>
  </si>
  <si>
    <t>05/05/2022</t>
  </si>
  <si>
    <t>EMP0111</t>
  </si>
  <si>
    <t>07/06/2023</t>
  </si>
  <si>
    <t>EMP0112</t>
  </si>
  <si>
    <t>Ada Eze</t>
  </si>
  <si>
    <t>06/03/2024</t>
  </si>
  <si>
    <t>EMP0113</t>
  </si>
  <si>
    <t>Musa Taiwo</t>
  </si>
  <si>
    <t>12/25/2021</t>
  </si>
  <si>
    <t>EMP0114</t>
  </si>
  <si>
    <t>Musa Abubakar</t>
  </si>
  <si>
    <t>06/07/2024</t>
  </si>
  <si>
    <t>EMP0115</t>
  </si>
  <si>
    <t>Nkem Abubakar</t>
  </si>
  <si>
    <t>09/21/2024</t>
  </si>
  <si>
    <t>EMP0116</t>
  </si>
  <si>
    <t>Ayo Aliyu</t>
  </si>
  <si>
    <t>03/27/2024</t>
  </si>
  <si>
    <t>EMP0117</t>
  </si>
  <si>
    <t>Chukwu Okonkwo</t>
  </si>
  <si>
    <t>01/17/2021</t>
  </si>
  <si>
    <t>EMP0118</t>
  </si>
  <si>
    <t>Blessing Lawal</t>
  </si>
  <si>
    <t>07/15/2023</t>
  </si>
  <si>
    <t>EMP0119</t>
  </si>
  <si>
    <t>10/28/2023</t>
  </si>
  <si>
    <t>EMP0120</t>
  </si>
  <si>
    <t>Fatima Onwuka</t>
  </si>
  <si>
    <t>EMP0121</t>
  </si>
  <si>
    <t>Kola Obi</t>
  </si>
  <si>
    <t>01/21/2023</t>
  </si>
  <si>
    <t>EMP0122</t>
  </si>
  <si>
    <t>Zainab Hassan</t>
  </si>
  <si>
    <t>12/26/2024</t>
  </si>
  <si>
    <t>EMP0123</t>
  </si>
  <si>
    <t>01/03/2021</t>
  </si>
  <si>
    <t>EMP0124</t>
  </si>
  <si>
    <t>05/16/2023</t>
  </si>
  <si>
    <t>EMP0125</t>
  </si>
  <si>
    <t>Seun Lawal</t>
  </si>
  <si>
    <t>05/01/2022</t>
  </si>
  <si>
    <t>EMP0126</t>
  </si>
  <si>
    <t>Kola Dike</t>
  </si>
  <si>
    <t>06/13/2022</t>
  </si>
  <si>
    <t>EMP0127</t>
  </si>
  <si>
    <t>Nkem Okonkwo</t>
  </si>
  <si>
    <t>11/10/2022</t>
  </si>
  <si>
    <t>EMP0128</t>
  </si>
  <si>
    <t>Chioma Obi</t>
  </si>
  <si>
    <t>04/22/2021</t>
  </si>
  <si>
    <t>EMP0129</t>
  </si>
  <si>
    <t>Nkem Obi</t>
  </si>
  <si>
    <t>EMP0130</t>
  </si>
  <si>
    <t>Chukwu Sule</t>
  </si>
  <si>
    <t>08/04/2023</t>
  </si>
  <si>
    <t>EMP0131</t>
  </si>
  <si>
    <t>Ada Adeyemi</t>
  </si>
  <si>
    <t>04/26/2024</t>
  </si>
  <si>
    <t>EMP0132</t>
  </si>
  <si>
    <t>06/11/2022</t>
  </si>
  <si>
    <t>EMP0133</t>
  </si>
  <si>
    <t>06/04/2022</t>
  </si>
  <si>
    <t>EMP0134</t>
  </si>
  <si>
    <t>Zainab Eze</t>
  </si>
  <si>
    <t>05/05/2024</t>
  </si>
  <si>
    <t>EMP0135</t>
  </si>
  <si>
    <t>Zainab Okafor</t>
  </si>
  <si>
    <t>02/19/2022</t>
  </si>
  <si>
    <t>EMP0136</t>
  </si>
  <si>
    <t>Seun Abubakar</t>
  </si>
  <si>
    <t>12/15/2021</t>
  </si>
  <si>
    <t>EMP0137</t>
  </si>
  <si>
    <t>10/05/2022</t>
  </si>
  <si>
    <t>EMP0138</t>
  </si>
  <si>
    <t>Dayo Olawale</t>
  </si>
  <si>
    <t>04/05/2022</t>
  </si>
  <si>
    <t>EMP0139</t>
  </si>
  <si>
    <t>Ibrahim Eze</t>
  </si>
  <si>
    <t>12/03/2021</t>
  </si>
  <si>
    <t>EMP0140</t>
  </si>
  <si>
    <t>11/25/2023</t>
  </si>
  <si>
    <t>EMP0141</t>
  </si>
  <si>
    <t>Chukwu Nwosu</t>
  </si>
  <si>
    <t>05/03/2023</t>
  </si>
  <si>
    <t>EMP0142</t>
  </si>
  <si>
    <t>Musa Igwe</t>
  </si>
  <si>
    <t>12/11/2021</t>
  </si>
  <si>
    <t>EMP0143</t>
  </si>
  <si>
    <t>Ngozi Abubakar</t>
  </si>
  <si>
    <t>08/12/2022</t>
  </si>
  <si>
    <t>EMP0144</t>
  </si>
  <si>
    <t>Femi Dike</t>
  </si>
  <si>
    <t>09/20/2022</t>
  </si>
  <si>
    <t>EMP0145</t>
  </si>
  <si>
    <t>06/11/2021</t>
  </si>
  <si>
    <t>EMP0146</t>
  </si>
  <si>
    <t>07/23/2024</t>
  </si>
  <si>
    <t>EMP0147</t>
  </si>
  <si>
    <t>Dayo Taiwo</t>
  </si>
  <si>
    <t>12/28/2024</t>
  </si>
  <si>
    <t>EMP0148</t>
  </si>
  <si>
    <t>06/05/2022</t>
  </si>
  <si>
    <t>EMP0149</t>
  </si>
  <si>
    <t>Chioma Olawale</t>
  </si>
  <si>
    <t>03/09/2023</t>
  </si>
  <si>
    <t>EMP0150</t>
  </si>
  <si>
    <t>Uche Mbeki</t>
  </si>
  <si>
    <t>EMP0151</t>
  </si>
  <si>
    <t>Tunde Mbeki</t>
  </si>
  <si>
    <t>06/07/2021</t>
  </si>
  <si>
    <t>EMP0152</t>
  </si>
  <si>
    <t>06/01/2021</t>
  </si>
  <si>
    <t>EMP0153</t>
  </si>
  <si>
    <t>Blessing Abubakar</t>
  </si>
  <si>
    <t>09/05/2021</t>
  </si>
  <si>
    <t>EMP0154</t>
  </si>
  <si>
    <t>Chioma Eze</t>
  </si>
  <si>
    <t>03/25/2022</t>
  </si>
  <si>
    <t>EMP0155</t>
  </si>
  <si>
    <t>12/23/2023</t>
  </si>
  <si>
    <t>EMP0156</t>
  </si>
  <si>
    <t>Amaka Balogun</t>
  </si>
  <si>
    <t>08/04/2021</t>
  </si>
  <si>
    <t>EMP0157</t>
  </si>
  <si>
    <t>Uche Eze</t>
  </si>
  <si>
    <t>06/04/2021</t>
  </si>
  <si>
    <t>EMP0158</t>
  </si>
  <si>
    <t>Nkem Lawal</t>
  </si>
  <si>
    <t>10/20/2021</t>
  </si>
  <si>
    <t>EMP0159</t>
  </si>
  <si>
    <t>Ibrahim Lawal</t>
  </si>
  <si>
    <t>12/12/2024</t>
  </si>
  <si>
    <t>EMP0160</t>
  </si>
  <si>
    <t>Nkem Mbeki</t>
  </si>
  <si>
    <t>02/08/2022</t>
  </si>
  <si>
    <t>EMP0161</t>
  </si>
  <si>
    <t>08/18/2022</t>
  </si>
  <si>
    <t>EMP0162</t>
  </si>
  <si>
    <t>03/19/2021</t>
  </si>
  <si>
    <t>EMP0163</t>
  </si>
  <si>
    <t>Ngozi Yakubu</t>
  </si>
  <si>
    <t>11/19/2022</t>
  </si>
  <si>
    <t>EMP0164</t>
  </si>
  <si>
    <t>Amaka Aliyu</t>
  </si>
  <si>
    <t>12/03/2023</t>
  </si>
  <si>
    <t>EMP0165</t>
  </si>
  <si>
    <t>03/14/2024</t>
  </si>
  <si>
    <t>EMP0166</t>
  </si>
  <si>
    <t>Musa Nwosu</t>
  </si>
  <si>
    <t>07/06/2022</t>
  </si>
  <si>
    <t>EMP0167</t>
  </si>
  <si>
    <t>Femi Taiwo</t>
  </si>
  <si>
    <t>11/10/2023</t>
  </si>
  <si>
    <t>EMP0168</t>
  </si>
  <si>
    <t>Musa Onwuka</t>
  </si>
  <si>
    <t>04/06/2021</t>
  </si>
  <si>
    <t>EMP0169</t>
  </si>
  <si>
    <t>Tunde Igwe</t>
  </si>
  <si>
    <t>05/15/2021</t>
  </si>
  <si>
    <t>EMP0170</t>
  </si>
  <si>
    <t>10/08/2024</t>
  </si>
  <si>
    <t>EMP0171</t>
  </si>
  <si>
    <t>Emeka Mbeki</t>
  </si>
  <si>
    <t>11/05/2022</t>
  </si>
  <si>
    <t>EMP0172</t>
  </si>
  <si>
    <t>07/05/2021</t>
  </si>
  <si>
    <t>EMP0173</t>
  </si>
  <si>
    <t>Tunde Onwuka</t>
  </si>
  <si>
    <t>07/05/2023</t>
  </si>
  <si>
    <t>EMP0174</t>
  </si>
  <si>
    <t>03/10/2022</t>
  </si>
  <si>
    <t>EMP0175</t>
  </si>
  <si>
    <t>09/19/2022</t>
  </si>
  <si>
    <t>EMP0176</t>
  </si>
  <si>
    <t>Emeka Abubakar</t>
  </si>
  <si>
    <t>06/16/2022</t>
  </si>
  <si>
    <t>EMP0177</t>
  </si>
  <si>
    <t>Nkem Hassan</t>
  </si>
  <si>
    <t>EMP0178</t>
  </si>
  <si>
    <t>Blessing Okafor</t>
  </si>
  <si>
    <t>06/15/2024</t>
  </si>
  <si>
    <t>EMP0179</t>
  </si>
  <si>
    <t>Blessing Taiwo</t>
  </si>
  <si>
    <t>11/11/2023</t>
  </si>
  <si>
    <t>EMP0180</t>
  </si>
  <si>
    <t>Fatima Eze</t>
  </si>
  <si>
    <t>EMP0181</t>
  </si>
  <si>
    <t>06/08/2022</t>
  </si>
  <si>
    <t>EMP0182</t>
  </si>
  <si>
    <t>01/28/2024</t>
  </si>
  <si>
    <t>EMP0183</t>
  </si>
  <si>
    <t>Chioma Onwuka</t>
  </si>
  <si>
    <t>03/19/2022</t>
  </si>
  <si>
    <t>EMP0184</t>
  </si>
  <si>
    <t>01/22/2022</t>
  </si>
  <si>
    <t>EMP0185</t>
  </si>
  <si>
    <t>Zainab Igwe</t>
  </si>
  <si>
    <t>EMP0186</t>
  </si>
  <si>
    <t>Bello Obi</t>
  </si>
  <si>
    <t>09/20/2023</t>
  </si>
  <si>
    <t>EMP0187</t>
  </si>
  <si>
    <t>Chukwu Adeyemi</t>
  </si>
  <si>
    <t>10/20/2023</t>
  </si>
  <si>
    <t>EMP0188</t>
  </si>
  <si>
    <t>Femi Nwosu</t>
  </si>
  <si>
    <t>09/16/2021</t>
  </si>
  <si>
    <t>EMP0189</t>
  </si>
  <si>
    <t>Chukwu Okafor</t>
  </si>
  <si>
    <t>05/15/2023</t>
  </si>
  <si>
    <t>EMP0190</t>
  </si>
  <si>
    <t>Ada Yakubu</t>
  </si>
  <si>
    <t>EMP0191</t>
  </si>
  <si>
    <t>10/22/2024</t>
  </si>
  <si>
    <t>EMP0192</t>
  </si>
  <si>
    <t>11/28/2022</t>
  </si>
  <si>
    <t>EMP0193</t>
  </si>
  <si>
    <t>Chioma Abubakar</t>
  </si>
  <si>
    <t>06/08/2024</t>
  </si>
  <si>
    <t>EMP0194</t>
  </si>
  <si>
    <t>Uche Hassan</t>
  </si>
  <si>
    <t>07/14/2021</t>
  </si>
  <si>
    <t>EMP0195</t>
  </si>
  <si>
    <t>Ngozi Taiwo</t>
  </si>
  <si>
    <t>12/15/2023</t>
  </si>
  <si>
    <t>EMP0196</t>
  </si>
  <si>
    <t>Chukwu Fashola</t>
  </si>
  <si>
    <t>04/04/2022</t>
  </si>
  <si>
    <t>EMP0197</t>
  </si>
  <si>
    <t>Kola Nwosu</t>
  </si>
  <si>
    <t>10/16/2024</t>
  </si>
  <si>
    <t>EMP0198</t>
  </si>
  <si>
    <t>Amaka Nwosu</t>
  </si>
  <si>
    <t>10/23/2024</t>
  </si>
  <si>
    <t>EMP0199</t>
  </si>
  <si>
    <t>Dayo Okonkwo</t>
  </si>
  <si>
    <t>09/16/2023</t>
  </si>
  <si>
    <t>EMP0200</t>
  </si>
  <si>
    <t>Dayo Igwe</t>
  </si>
  <si>
    <t>12/26/2021</t>
  </si>
  <si>
    <t>EMP0201</t>
  </si>
  <si>
    <t>Zainab Dike</t>
  </si>
  <si>
    <t>12/09/2021</t>
  </si>
  <si>
    <t>EMP0202</t>
  </si>
  <si>
    <t>Zainab Onwuka</t>
  </si>
  <si>
    <t>09/09/2023</t>
  </si>
  <si>
    <t>EMP0203</t>
  </si>
  <si>
    <t>09/08/2023</t>
  </si>
  <si>
    <t>EMP0204</t>
  </si>
  <si>
    <t>02/22/2021</t>
  </si>
  <si>
    <t>EMP0205</t>
  </si>
  <si>
    <t>05/21/2021</t>
  </si>
  <si>
    <t>EMP0206</t>
  </si>
  <si>
    <t>Tunde Aliyu</t>
  </si>
  <si>
    <t>01/15/2022</t>
  </si>
  <si>
    <t>EMP0207</t>
  </si>
  <si>
    <t>Emeka Aliyu</t>
  </si>
  <si>
    <t>11/04/2024</t>
  </si>
  <si>
    <t>EMP0208</t>
  </si>
  <si>
    <t>03/18/2024</t>
  </si>
  <si>
    <t>EMP0209</t>
  </si>
  <si>
    <t>04/24/2023</t>
  </si>
  <si>
    <t>EMP0210</t>
  </si>
  <si>
    <t>EMP0211</t>
  </si>
  <si>
    <t>Kola Yakubu</t>
  </si>
  <si>
    <t>06/14/2023</t>
  </si>
  <si>
    <t>EMP0212</t>
  </si>
  <si>
    <t>Uche Lawal</t>
  </si>
  <si>
    <t>EMP0213</t>
  </si>
  <si>
    <t>Ngozi Balogun</t>
  </si>
  <si>
    <t>04/25/2024</t>
  </si>
  <si>
    <t>EMP0214</t>
  </si>
  <si>
    <t>Blessing Mbeki</t>
  </si>
  <si>
    <t>12/24/2022</t>
  </si>
  <si>
    <t>EMP0215</t>
  </si>
  <si>
    <t>Ibrahim Abubakar</t>
  </si>
  <si>
    <t>02/23/2023</t>
  </si>
  <si>
    <t>EMP0216</t>
  </si>
  <si>
    <t>08/26/2023</t>
  </si>
  <si>
    <t>EMP0217</t>
  </si>
  <si>
    <t>06/24/2024</t>
  </si>
  <si>
    <t>EMP0218</t>
  </si>
  <si>
    <t>Ibrahim Okonkwo</t>
  </si>
  <si>
    <t>03/09/2021</t>
  </si>
  <si>
    <t>EMP0219</t>
  </si>
  <si>
    <t>Ada Balogun</t>
  </si>
  <si>
    <t>12/22/2022</t>
  </si>
  <si>
    <t>EMP0220</t>
  </si>
  <si>
    <t>09/17/2021</t>
  </si>
  <si>
    <t>EMP0221</t>
  </si>
  <si>
    <t>Femi Hassan</t>
  </si>
  <si>
    <t>EMP0222</t>
  </si>
  <si>
    <t>Ada Taiwo</t>
  </si>
  <si>
    <t>07/12/2023</t>
  </si>
  <si>
    <t>EMP0223</t>
  </si>
  <si>
    <t>Seun Hassan</t>
  </si>
  <si>
    <t>05/10/2024</t>
  </si>
  <si>
    <t>EMP0224</t>
  </si>
  <si>
    <t>Tunde Abubakar</t>
  </si>
  <si>
    <t>08/20/2022</t>
  </si>
  <si>
    <t>EMP0225</t>
  </si>
  <si>
    <t>Uche Yakubu</t>
  </si>
  <si>
    <t>04/02/2023</t>
  </si>
  <si>
    <t>EMP0226</t>
  </si>
  <si>
    <t>Femi Aliyu</t>
  </si>
  <si>
    <t>12/23/2021</t>
  </si>
  <si>
    <t>EMP0227</t>
  </si>
  <si>
    <t>Dayo Onwuka</t>
  </si>
  <si>
    <t>09/03/2021</t>
  </si>
  <si>
    <t>EMP0228</t>
  </si>
  <si>
    <t>Blessing Olawale</t>
  </si>
  <si>
    <t>05/03/2021</t>
  </si>
  <si>
    <t>EMP0229</t>
  </si>
  <si>
    <t>Kola Lawal</t>
  </si>
  <si>
    <t>04/19/2023</t>
  </si>
  <si>
    <t>EMP0230</t>
  </si>
  <si>
    <t>09/02/2021</t>
  </si>
  <si>
    <t>EMP0231</t>
  </si>
  <si>
    <t>07/28/2023</t>
  </si>
  <si>
    <t>EMP0232</t>
  </si>
  <si>
    <t>Ayo Fashola</t>
  </si>
  <si>
    <t>10/11/2024</t>
  </si>
  <si>
    <t>EMP0233</t>
  </si>
  <si>
    <t>04/05/2024</t>
  </si>
  <si>
    <t>EMP0234</t>
  </si>
  <si>
    <t>Chioma Sule</t>
  </si>
  <si>
    <t>EMP0235</t>
  </si>
  <si>
    <t>EMP0236</t>
  </si>
  <si>
    <t>06/21/2023</t>
  </si>
  <si>
    <t>EMP0237</t>
  </si>
  <si>
    <t>02/04/2024</t>
  </si>
  <si>
    <t>EMP0238</t>
  </si>
  <si>
    <t>Chukwu Obi</t>
  </si>
  <si>
    <t>03/17/2022</t>
  </si>
  <si>
    <t>EMP0239</t>
  </si>
  <si>
    <t>Kola Sule</t>
  </si>
  <si>
    <t>08/18/2023</t>
  </si>
  <si>
    <t>EMP0240</t>
  </si>
  <si>
    <t>Zainab Lawal</t>
  </si>
  <si>
    <t>EMP0241</t>
  </si>
  <si>
    <t>Zainab Okonkwo</t>
  </si>
  <si>
    <t>11/24/2023</t>
  </si>
  <si>
    <t>EMP0242</t>
  </si>
  <si>
    <t>Ngozi Aliyu</t>
  </si>
  <si>
    <t>03/04/2021</t>
  </si>
  <si>
    <t>EMP0243</t>
  </si>
  <si>
    <t>Chukwu Abubakar</t>
  </si>
  <si>
    <t>01/09/2022</t>
  </si>
  <si>
    <t>EMP0244</t>
  </si>
  <si>
    <t>08/13/2022</t>
  </si>
  <si>
    <t>EMP0245</t>
  </si>
  <si>
    <t>Dayo Mbeki</t>
  </si>
  <si>
    <t>03/26/2021</t>
  </si>
  <si>
    <t>EMP0246</t>
  </si>
  <si>
    <t>Uche Okafor</t>
  </si>
  <si>
    <t>01/12/2021</t>
  </si>
  <si>
    <t>EMP0247</t>
  </si>
  <si>
    <t>Amaka Sule</t>
  </si>
  <si>
    <t>EMP0248</t>
  </si>
  <si>
    <t>09/12/2023</t>
  </si>
  <si>
    <t>EMP0249</t>
  </si>
  <si>
    <t>Musa Aliyu</t>
  </si>
  <si>
    <t>EMP0250</t>
  </si>
  <si>
    <t>01/12/2023</t>
  </si>
  <si>
    <t>EMP0251</t>
  </si>
  <si>
    <t>02/07/2023</t>
  </si>
  <si>
    <t>EMP0252</t>
  </si>
  <si>
    <t>Dayo Obi</t>
  </si>
  <si>
    <t>EMP0253</t>
  </si>
  <si>
    <t>Kola Aliyu</t>
  </si>
  <si>
    <t>07/25/2022</t>
  </si>
  <si>
    <t>EMP0254</t>
  </si>
  <si>
    <t>Ayo Obi</t>
  </si>
  <si>
    <t>09/17/2023</t>
  </si>
  <si>
    <t>EMP0255</t>
  </si>
  <si>
    <t>Tunde Adeyemi</t>
  </si>
  <si>
    <t>EMP0256</t>
  </si>
  <si>
    <t>Femi Igwe</t>
  </si>
  <si>
    <t>01/10/2024</t>
  </si>
  <si>
    <t>EMP0257</t>
  </si>
  <si>
    <t>03/11/2022</t>
  </si>
  <si>
    <t>EMP0258</t>
  </si>
  <si>
    <t>04/03/2022</t>
  </si>
  <si>
    <t>EMP0259</t>
  </si>
  <si>
    <t>01/27/2024</t>
  </si>
  <si>
    <t>EMP0260</t>
  </si>
  <si>
    <t>EMP0261</t>
  </si>
  <si>
    <t>12/20/2022</t>
  </si>
  <si>
    <t>EMP0262</t>
  </si>
  <si>
    <t>04/17/2022</t>
  </si>
  <si>
    <t>EMP0263</t>
  </si>
  <si>
    <t>11/09/2021</t>
  </si>
  <si>
    <t>EMP0264</t>
  </si>
  <si>
    <t>10/11/2023</t>
  </si>
  <si>
    <t>EMP0265</t>
  </si>
  <si>
    <t>Amaka Onwuka</t>
  </si>
  <si>
    <t>03/11/2021</t>
  </si>
  <si>
    <t>EMP0266</t>
  </si>
  <si>
    <t>Chioma Igwe</t>
  </si>
  <si>
    <t>11/01/2022</t>
  </si>
  <si>
    <t>EMP0267</t>
  </si>
  <si>
    <t>04/24/2024</t>
  </si>
  <si>
    <t>EMP0268</t>
  </si>
  <si>
    <t>Ayo Taiwo</t>
  </si>
  <si>
    <t>EMP0269</t>
  </si>
  <si>
    <t>Musa Adeyemi</t>
  </si>
  <si>
    <t>12/17/2021</t>
  </si>
  <si>
    <t>EMP0270</t>
  </si>
  <si>
    <t>Ngozi Mbeki</t>
  </si>
  <si>
    <t>EMP0271</t>
  </si>
  <si>
    <t>Tunde Dike</t>
  </si>
  <si>
    <t>EMP0272</t>
  </si>
  <si>
    <t>08/18/2024</t>
  </si>
  <si>
    <t>EMP0273</t>
  </si>
  <si>
    <t>EMP0274</t>
  </si>
  <si>
    <t>Amaka Adeyemi</t>
  </si>
  <si>
    <t>12/19/2024</t>
  </si>
  <si>
    <t>EMP0275</t>
  </si>
  <si>
    <t>12/07/2022</t>
  </si>
  <si>
    <t>EMP0276</t>
  </si>
  <si>
    <t>Ngozi Sule</t>
  </si>
  <si>
    <t>03/20/2024</t>
  </si>
  <si>
    <t>EMP0277</t>
  </si>
  <si>
    <t>12/10/2022</t>
  </si>
  <si>
    <t>EMP0278</t>
  </si>
  <si>
    <t>11/05/2021</t>
  </si>
  <si>
    <t>EMP0279</t>
  </si>
  <si>
    <t>EMP0280</t>
  </si>
  <si>
    <t>Bello Onwuka</t>
  </si>
  <si>
    <t>06/15/2022</t>
  </si>
  <si>
    <t>EMP0281</t>
  </si>
  <si>
    <t>03/25/2023</t>
  </si>
  <si>
    <t>EMP0282</t>
  </si>
  <si>
    <t>Fatima Adeyemi</t>
  </si>
  <si>
    <t>10/25/2021</t>
  </si>
  <si>
    <t>EMP0283</t>
  </si>
  <si>
    <t>Fatima Okonkwo</t>
  </si>
  <si>
    <t>09/12/2022</t>
  </si>
  <si>
    <t>EMP0284</t>
  </si>
  <si>
    <t>Ada Onwuka</t>
  </si>
  <si>
    <t>07/02/2021</t>
  </si>
  <si>
    <t>EMP0285</t>
  </si>
  <si>
    <t>Femi Onwuka</t>
  </si>
  <si>
    <t>02/15/2024</t>
  </si>
  <si>
    <t>EMP0286</t>
  </si>
  <si>
    <t>Uche Abubakar</t>
  </si>
  <si>
    <t>08/15/2023</t>
  </si>
  <si>
    <t>EMP0287</t>
  </si>
  <si>
    <t>Blessing Nwosu</t>
  </si>
  <si>
    <t>EMP0288</t>
  </si>
  <si>
    <t>07/03/2023</t>
  </si>
  <si>
    <t>EMP0289</t>
  </si>
  <si>
    <t>04/22/2022</t>
  </si>
  <si>
    <t>EMP0290</t>
  </si>
  <si>
    <t>EMP0291</t>
  </si>
  <si>
    <t>05/28/2022</t>
  </si>
  <si>
    <t>EMP0292</t>
  </si>
  <si>
    <t>Chukwu Eze</t>
  </si>
  <si>
    <t>07/12/2024</t>
  </si>
  <si>
    <t>EMP0293</t>
  </si>
  <si>
    <t>Nkem Sule</t>
  </si>
  <si>
    <t>03/24/2021</t>
  </si>
  <si>
    <t>EMP0294</t>
  </si>
  <si>
    <t>EMP0295</t>
  </si>
  <si>
    <t>12/20/2023</t>
  </si>
  <si>
    <t>EMP0296</t>
  </si>
  <si>
    <t>Amaka Mbeki</t>
  </si>
  <si>
    <t>06/26/2024</t>
  </si>
  <si>
    <t>EMP0297</t>
  </si>
  <si>
    <t>Bello Mbeki</t>
  </si>
  <si>
    <t>10/24/2022</t>
  </si>
  <si>
    <t>EMP0298</t>
  </si>
  <si>
    <t>EMP0299</t>
  </si>
  <si>
    <t>Blessing Adeyemi</t>
  </si>
  <si>
    <t>11/24/2024</t>
  </si>
  <si>
    <t>EMP0300</t>
  </si>
  <si>
    <t>EMP0025</t>
  </si>
  <si>
    <t>EMP0050</t>
  </si>
  <si>
    <t>EMP0075</t>
  </si>
  <si>
    <t>EMP0100</t>
  </si>
  <si>
    <t>Current smoker</t>
  </si>
  <si>
    <t>Non-smoker</t>
  </si>
  <si>
    <t>Former smoker</t>
  </si>
  <si>
    <t>Fully vaccinated</t>
  </si>
  <si>
    <t>Not vaccinated</t>
  </si>
  <si>
    <t>Partially vaccinated</t>
  </si>
  <si>
    <t>Last_Checkup_date</t>
  </si>
  <si>
    <t>Count of BMI</t>
  </si>
  <si>
    <t>BMI category</t>
  </si>
  <si>
    <t>Row Labels</t>
  </si>
  <si>
    <t>Normal</t>
  </si>
  <si>
    <t>Obese</t>
  </si>
  <si>
    <t>Overweight</t>
  </si>
  <si>
    <t>Underweight</t>
  </si>
  <si>
    <t>Grand Total</t>
  </si>
  <si>
    <t>Count of Employee_ID</t>
  </si>
  <si>
    <t>DISTRIBUTION OF BMI IN COMPANY</t>
  </si>
  <si>
    <t>Age group</t>
  </si>
  <si>
    <t>Column Labels</t>
  </si>
  <si>
    <t>Adult</t>
  </si>
  <si>
    <t>Aged</t>
  </si>
  <si>
    <t>Elder</t>
  </si>
  <si>
    <t>Young adult</t>
  </si>
  <si>
    <t>AGE AND GENDER BMI DISTRIBUTION</t>
  </si>
  <si>
    <t>% of employee with high BP</t>
  </si>
  <si>
    <t>BP category</t>
  </si>
  <si>
    <t>Elevated</t>
  </si>
  <si>
    <t>Count of BP category</t>
  </si>
  <si>
    <t>High Bp</t>
  </si>
  <si>
    <t>BP BY DEPARTMENT AND AGE GROUP</t>
  </si>
  <si>
    <t>PREVALANCE OF DIABETES, ASTHMA, HYPERTENSION, OBESITY</t>
  </si>
  <si>
    <t>CHRONIC DISEASE RATE BY DEPARTMENT AND STATES</t>
  </si>
  <si>
    <t>Sum of Sick_Days_2023</t>
  </si>
  <si>
    <t>Sum of Sick_Days_2024</t>
  </si>
  <si>
    <t>SICK DAYS BY DEPARTMENT 2023 VS 2024</t>
  </si>
  <si>
    <t>Average of Sick_Days_2023</t>
  </si>
  <si>
    <t>Average of Sick_Days_2024</t>
  </si>
  <si>
    <t>CHRONIC CONDITION VS SICK DAYS</t>
  </si>
  <si>
    <t>absenteeism impreovement over years</t>
  </si>
  <si>
    <t>it has increased by 104 days 3.56%</t>
  </si>
  <si>
    <t>Count of Chronic_Condition</t>
  </si>
  <si>
    <t>% OF EMPLOYEES WHO SMOKE</t>
  </si>
  <si>
    <t>SMOKERS VS CONDITION</t>
  </si>
  <si>
    <t>COUNT OF PHYSICALLY ACTIVE WORKERS</t>
  </si>
  <si>
    <t>OF WORKERS ARE PHYSICALLY ACTIVE &lt;=3 TIMES</t>
  </si>
  <si>
    <t>Sum of Mental_Health_Score</t>
  </si>
  <si>
    <t>Average of Mental_Health_Score</t>
  </si>
  <si>
    <t>AVERAGE MENTAL HEALTH SCORE IN COMPANY</t>
  </si>
  <si>
    <t>DEPARTMENT WITH LOWEST MENTAL HEALTH SCORE</t>
  </si>
  <si>
    <t>POOR MENTAL HEALTH VS INCREASED SICK DAYS</t>
  </si>
  <si>
    <t>% OF MPLOYEES THAT LACT INSURANCE COVERAGE</t>
  </si>
  <si>
    <t>EMPLOYEE WITH NO MEDICAL CHECKUP BETWEEN 2023 &amp; 2024</t>
  </si>
  <si>
    <t>COMPANY'S WIDE VACCINATION RATE</t>
  </si>
  <si>
    <t>ONLY 24% ARE VACCINATED</t>
  </si>
  <si>
    <t>DEPARTMENT WITH LOWEST VACCINATION COMPLIANCE</t>
  </si>
  <si>
    <t>STATE OFFICE WITH HIGHEST BURDEN OF DISEASE</t>
  </si>
  <si>
    <t>bmi score</t>
  </si>
  <si>
    <t>bp score</t>
  </si>
  <si>
    <t>Condition score</t>
  </si>
  <si>
    <t>Csmoking score</t>
  </si>
  <si>
    <t>Cholesterol score</t>
  </si>
  <si>
    <t>risk score</t>
  </si>
  <si>
    <t>Sum of risk score</t>
  </si>
  <si>
    <t>DEPARTMENTS COMPOSITE RISK SCORE</t>
  </si>
  <si>
    <t>risk category</t>
  </si>
  <si>
    <t>High risk</t>
  </si>
  <si>
    <t>Low risk</t>
  </si>
  <si>
    <t>Medium risk</t>
  </si>
  <si>
    <t>EMPLOYEE BY RISK CATEGORY</t>
  </si>
  <si>
    <t>ARE HIGH RISK EMPLOYEE MISSING MORE DAYS ON AVERAGE</t>
  </si>
  <si>
    <t>HIGH RISK</t>
  </si>
  <si>
    <t>MEDIUM RISK</t>
  </si>
  <si>
    <t>LOW RISK</t>
  </si>
  <si>
    <t>KPIS</t>
  </si>
  <si>
    <t>COMPANY AVG SICK DAYS</t>
  </si>
  <si>
    <t>TOTAL EMPLOYEES</t>
  </si>
  <si>
    <t>% HIGH RIK EMPLOYEES</t>
  </si>
  <si>
    <t>% VACCINATED</t>
  </si>
  <si>
    <t>IN 2024</t>
  </si>
  <si>
    <t>AVERAGE SICK DAYS PER PERAON IN RISK GROUP</t>
  </si>
  <si>
    <t>risk group</t>
  </si>
  <si>
    <t>`</t>
  </si>
  <si>
    <t>avg per person in dpt 2024</t>
  </si>
  <si>
    <t xml:space="preserve"> </t>
  </si>
  <si>
    <t>avg per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</si>
</sst>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charset val="1"/>
    </font>
    <font>
      <b/>
      <sz val="10"/>
      <color rgb="FFFFFFFF"/>
      <name val="Arial"/>
      <charset val="1"/>
    </font>
    <font>
      <sz val="9"/>
      <name val="Arial"/>
      <charset val="1"/>
    </font>
    <font>
      <sz val="8"/>
      <name val="Calibri"/>
      <family val="2"/>
      <charset val="1"/>
    </font>
    <font>
      <sz val="11"/>
      <color theme="1"/>
      <name val="Calibri"/>
      <family val="2"/>
      <charset val="1"/>
    </font>
    <font>
      <sz val="10"/>
      <color theme="1"/>
      <name val="Calibri"/>
      <family val="2"/>
      <charset val="1"/>
    </font>
  </fonts>
  <fills count="6">
    <fill>
      <patternFill patternType="none"/>
    </fill>
    <fill>
      <patternFill patternType="gray125"/>
    </fill>
    <fill>
      <patternFill patternType="solid">
        <fgColor rgb="FF1F4E79"/>
        <bgColor rgb="FF003366"/>
      </patternFill>
    </fill>
    <fill>
      <patternFill patternType="solid">
        <fgColor rgb="FFEBF3FB"/>
        <bgColor rgb="FFDEEAF1"/>
      </patternFill>
    </fill>
    <fill>
      <patternFill patternType="solid">
        <fgColor theme="5"/>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18">
    <xf numFmtId="0" fontId="0" fillId="0" borderId="0" xfId="0"/>
    <xf numFmtId="0" fontId="1" fillId="2" borderId="0" xfId="0" applyFont="1" applyFill="1" applyAlignment="1">
      <alignment horizontal="center" wrapText="1"/>
    </xf>
    <xf numFmtId="0" fontId="2" fillId="3" borderId="0" xfId="0" applyFont="1" applyFill="1"/>
    <xf numFmtId="0" fontId="2" fillId="0" borderId="0" xfId="0" applyFont="1"/>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9" fontId="0" fillId="0" borderId="0" xfId="1" applyFont="1"/>
    <xf numFmtId="1" fontId="0" fillId="0" borderId="0" xfId="1" applyNumberFormat="1" applyFont="1"/>
    <xf numFmtId="9" fontId="0" fillId="4" borderId="0" xfId="1" applyFont="1" applyFill="1"/>
    <xf numFmtId="0" fontId="0" fillId="4" borderId="0" xfId="0" applyFill="1"/>
    <xf numFmtId="0" fontId="0" fillId="0" borderId="0" xfId="0" applyAlignment="1">
      <alignment horizontal="left" indent="1"/>
    </xf>
    <xf numFmtId="1" fontId="0" fillId="0" borderId="0" xfId="0" applyNumberFormat="1"/>
    <xf numFmtId="0" fontId="5" fillId="5" borderId="0" xfId="0" applyFont="1" applyFill="1"/>
    <xf numFmtId="0" fontId="0" fillId="0" borderId="0" xfId="1" applyNumberFormat="1" applyFont="1"/>
  </cellXfs>
  <cellStyles count="2">
    <cellStyle name="Normal" xfId="0" builtinId="0"/>
    <cellStyle name="Percent" xfId="1" builtinId="5"/>
  </cellStyles>
  <dxfs count="32">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7" tint="-0.24994659260841701"/>
        </patternFill>
      </fill>
    </dxf>
  </dxfs>
  <tableStyles count="1" defaultTableStyle="TableStyleMedium2" defaultPivotStyle="PivotStyleLight16">
    <tableStyle name="Slicer Style 1" pivot="0" table="0" count="3" xr9:uid="{DB9DC2E8-9131-475E-8966-E034B691AA4C}">
      <tableStyleElement type="wholeTable" dxfId="31"/>
    </tableStyle>
  </table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EBF3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EEAF1"/>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833C00"/>
      <rgbColor rgb="FF993366"/>
      <rgbColor rgb="FF1F4E79"/>
      <rgbColor rgb="FF375623"/>
      <rgbColor rgb="00003366"/>
      <rgbColor rgb="00339966"/>
      <rgbColor rgb="00003300"/>
      <rgbColor rgb="00333300"/>
      <rgbColor rgb="00993300"/>
      <rgbColor rgb="00993366"/>
      <rgbColor rgb="00333399"/>
      <rgbColor rgb="00333333"/>
    </indexedColors>
    <mruColors>
      <color rgb="FFD9A7EB"/>
      <color rgb="FFC26FDF"/>
      <color rgb="FF7D239D"/>
    </mruColors>
  </colors>
  <extLst>
    <ext xmlns:x14="http://schemas.microsoft.com/office/spreadsheetml/2009/9/main" uri="{46F421CA-312F-682f-3DD2-61675219B42D}">
      <x14:dxfs count="2">
        <dxf>
          <fill>
            <patternFill>
              <bgColor theme="7" tint="-0.499984740745262"/>
            </patternFill>
          </fill>
        </dxf>
        <dxf>
          <fill>
            <patternFill>
              <bgColor theme="7"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health analytics portfolio.xlsx]PIVOT TABLE!PivotTable9</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TABLE'!$AJ$3</c:f>
              <c:strCache>
                <c:ptCount val="1"/>
                <c:pt idx="0">
                  <c:v>Sum of Sick_Days_2023</c:v>
                </c:pt>
              </c:strCache>
            </c:strRef>
          </c:tx>
          <c:spPr>
            <a:solidFill>
              <a:schemeClr val="accent4">
                <a:lumMod val="40000"/>
                <a:lumOff val="60000"/>
              </a:schemeClr>
            </a:solidFill>
            <a:ln>
              <a:solidFill>
                <a:schemeClr val="tx1"/>
              </a:solidFill>
            </a:ln>
            <a:effectLst/>
          </c:spPr>
          <c:invertIfNegative val="0"/>
          <c:cat>
            <c:strRef>
              <c:f>'PIVOT TABLE'!$AI$4:$AI$11</c:f>
              <c:strCache>
                <c:ptCount val="7"/>
                <c:pt idx="0">
                  <c:v>Finance</c:v>
                </c:pt>
                <c:pt idx="1">
                  <c:v>HR</c:v>
                </c:pt>
                <c:pt idx="2">
                  <c:v>IT</c:v>
                </c:pt>
                <c:pt idx="3">
                  <c:v>Legal</c:v>
                </c:pt>
                <c:pt idx="4">
                  <c:v>Marketing</c:v>
                </c:pt>
                <c:pt idx="5">
                  <c:v>Operations</c:v>
                </c:pt>
                <c:pt idx="6">
                  <c:v>Sales</c:v>
                </c:pt>
              </c:strCache>
            </c:strRef>
          </c:cat>
          <c:val>
            <c:numRef>
              <c:f>'PIVOT TABLE'!$AJ$4:$AJ$11</c:f>
              <c:numCache>
                <c:formatCode>General</c:formatCode>
                <c:ptCount val="7"/>
                <c:pt idx="0">
                  <c:v>734</c:v>
                </c:pt>
                <c:pt idx="1">
                  <c:v>480</c:v>
                </c:pt>
                <c:pt idx="2">
                  <c:v>610</c:v>
                </c:pt>
                <c:pt idx="3">
                  <c:v>317</c:v>
                </c:pt>
                <c:pt idx="4">
                  <c:v>200</c:v>
                </c:pt>
                <c:pt idx="5">
                  <c:v>264</c:v>
                </c:pt>
                <c:pt idx="6">
                  <c:v>312</c:v>
                </c:pt>
              </c:numCache>
            </c:numRef>
          </c:val>
          <c:extLst>
            <c:ext xmlns:c16="http://schemas.microsoft.com/office/drawing/2014/chart" uri="{C3380CC4-5D6E-409C-BE32-E72D297353CC}">
              <c16:uniqueId val="{00000000-33D2-46DE-AC18-AAD09F624621}"/>
            </c:ext>
          </c:extLst>
        </c:ser>
        <c:ser>
          <c:idx val="1"/>
          <c:order val="1"/>
          <c:tx>
            <c:strRef>
              <c:f>'PIVOT TABLE'!$AK$3</c:f>
              <c:strCache>
                <c:ptCount val="1"/>
                <c:pt idx="0">
                  <c:v>Sum of Sick_Days_2024</c:v>
                </c:pt>
              </c:strCache>
            </c:strRef>
          </c:tx>
          <c:spPr>
            <a:solidFill>
              <a:schemeClr val="accent4">
                <a:lumMod val="75000"/>
              </a:schemeClr>
            </a:solidFill>
            <a:ln>
              <a:solidFill>
                <a:schemeClr val="tx1"/>
              </a:solidFill>
            </a:ln>
            <a:effectLst/>
          </c:spPr>
          <c:invertIfNegative val="0"/>
          <c:cat>
            <c:strRef>
              <c:f>'PIVOT TABLE'!$AI$4:$AI$11</c:f>
              <c:strCache>
                <c:ptCount val="7"/>
                <c:pt idx="0">
                  <c:v>Finance</c:v>
                </c:pt>
                <c:pt idx="1">
                  <c:v>HR</c:v>
                </c:pt>
                <c:pt idx="2">
                  <c:v>IT</c:v>
                </c:pt>
                <c:pt idx="3">
                  <c:v>Legal</c:v>
                </c:pt>
                <c:pt idx="4">
                  <c:v>Marketing</c:v>
                </c:pt>
                <c:pt idx="5">
                  <c:v>Operations</c:v>
                </c:pt>
                <c:pt idx="6">
                  <c:v>Sales</c:v>
                </c:pt>
              </c:strCache>
            </c:strRef>
          </c:cat>
          <c:val>
            <c:numRef>
              <c:f>'PIVOT TABLE'!$AK$4:$AK$11</c:f>
              <c:numCache>
                <c:formatCode>General</c:formatCode>
                <c:ptCount val="7"/>
                <c:pt idx="0">
                  <c:v>802</c:v>
                </c:pt>
                <c:pt idx="1">
                  <c:v>509</c:v>
                </c:pt>
                <c:pt idx="2">
                  <c:v>549</c:v>
                </c:pt>
                <c:pt idx="3">
                  <c:v>396</c:v>
                </c:pt>
                <c:pt idx="4">
                  <c:v>220</c:v>
                </c:pt>
                <c:pt idx="5">
                  <c:v>243</c:v>
                </c:pt>
                <c:pt idx="6">
                  <c:v>302</c:v>
                </c:pt>
              </c:numCache>
            </c:numRef>
          </c:val>
          <c:extLst>
            <c:ext xmlns:c16="http://schemas.microsoft.com/office/drawing/2014/chart" uri="{C3380CC4-5D6E-409C-BE32-E72D297353CC}">
              <c16:uniqueId val="{00000001-33D2-46DE-AC18-AAD09F624621}"/>
            </c:ext>
          </c:extLst>
        </c:ser>
        <c:ser>
          <c:idx val="2"/>
          <c:order val="2"/>
          <c:tx>
            <c:strRef>
              <c:f>'PIVOT TABLE'!$AL$3</c:f>
              <c:strCache>
                <c:ptCount val="1"/>
                <c:pt idx="0">
                  <c:v>Count of Employee_ID</c:v>
                </c:pt>
              </c:strCache>
            </c:strRef>
          </c:tx>
          <c:spPr>
            <a:solidFill>
              <a:schemeClr val="accent3"/>
            </a:solidFill>
            <a:ln>
              <a:noFill/>
            </a:ln>
            <a:effectLst/>
          </c:spPr>
          <c:invertIfNegative val="0"/>
          <c:cat>
            <c:strRef>
              <c:f>'PIVOT TABLE'!$AI$4:$AI$11</c:f>
              <c:strCache>
                <c:ptCount val="7"/>
                <c:pt idx="0">
                  <c:v>Finance</c:v>
                </c:pt>
                <c:pt idx="1">
                  <c:v>HR</c:v>
                </c:pt>
                <c:pt idx="2">
                  <c:v>IT</c:v>
                </c:pt>
                <c:pt idx="3">
                  <c:v>Legal</c:v>
                </c:pt>
                <c:pt idx="4">
                  <c:v>Marketing</c:v>
                </c:pt>
                <c:pt idx="5">
                  <c:v>Operations</c:v>
                </c:pt>
                <c:pt idx="6">
                  <c:v>Sales</c:v>
                </c:pt>
              </c:strCache>
            </c:strRef>
          </c:cat>
          <c:val>
            <c:numRef>
              <c:f>'PIVOT TABLE'!$AL$4:$AL$11</c:f>
              <c:numCache>
                <c:formatCode>General</c:formatCode>
                <c:ptCount val="7"/>
                <c:pt idx="0">
                  <c:v>78</c:v>
                </c:pt>
                <c:pt idx="1">
                  <c:v>46</c:v>
                </c:pt>
                <c:pt idx="2">
                  <c:v>62</c:v>
                </c:pt>
                <c:pt idx="3">
                  <c:v>37</c:v>
                </c:pt>
                <c:pt idx="4">
                  <c:v>21</c:v>
                </c:pt>
                <c:pt idx="5">
                  <c:v>26</c:v>
                </c:pt>
                <c:pt idx="6">
                  <c:v>30</c:v>
                </c:pt>
              </c:numCache>
            </c:numRef>
          </c:val>
          <c:extLst>
            <c:ext xmlns:c16="http://schemas.microsoft.com/office/drawing/2014/chart" uri="{C3380CC4-5D6E-409C-BE32-E72D297353CC}">
              <c16:uniqueId val="{00000001-DAD9-4769-B6E3-991B14EB3529}"/>
            </c:ext>
          </c:extLst>
        </c:ser>
        <c:dLbls>
          <c:showLegendKey val="0"/>
          <c:showVal val="0"/>
          <c:showCatName val="0"/>
          <c:showSerName val="0"/>
          <c:showPercent val="0"/>
          <c:showBubbleSize val="0"/>
        </c:dLbls>
        <c:gapWidth val="185"/>
        <c:overlap val="-27"/>
        <c:axId val="1142816847"/>
        <c:axId val="1142819343"/>
      </c:barChart>
      <c:catAx>
        <c:axId val="114281684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1142819343"/>
        <c:crosses val="autoZero"/>
        <c:auto val="1"/>
        <c:lblAlgn val="ctr"/>
        <c:lblOffset val="100"/>
        <c:noMultiLvlLbl val="0"/>
      </c:catAx>
      <c:valAx>
        <c:axId val="1142819343"/>
        <c:scaling>
          <c:orientation val="minMax"/>
        </c:scaling>
        <c:delete val="0"/>
        <c:axPos val="l"/>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114281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health analytics portfolio.xlsx]PIVOT TABLE!PivotTable11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4">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20000"/>
              <a:lumOff val="80000"/>
            </a:schemeClr>
          </a:solidFill>
          <a:ln w="19050">
            <a:noFill/>
          </a:ln>
          <a:effectLst/>
        </c:spPr>
        <c:dLbl>
          <c:idx val="0"/>
          <c:layout>
            <c:manualLayout>
              <c:x val="-9.002492188264917E-2"/>
              <c:y val="0.1752032107724969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40000"/>
              <a:lumOff val="60000"/>
            </a:schemeClr>
          </a:solidFill>
          <a:ln w="19050">
            <a:noFill/>
          </a:ln>
          <a:effectLst/>
        </c:spPr>
        <c:dLbl>
          <c:idx val="0"/>
          <c:layout>
            <c:manualLayout>
              <c:x val="-0.11548094562245985"/>
              <c:y val="-7.641583403087551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w="19050">
            <a:noFill/>
          </a:ln>
          <a:effectLst/>
        </c:spPr>
      </c:pivotFmt>
    </c:pivotFmts>
    <c:plotArea>
      <c:layout/>
      <c:pieChart>
        <c:varyColors val="1"/>
        <c:ser>
          <c:idx val="0"/>
          <c:order val="0"/>
          <c:tx>
            <c:strRef>
              <c:f>'PIVOT TABLE'!$CC$3</c:f>
              <c:strCache>
                <c:ptCount val="1"/>
                <c:pt idx="0">
                  <c:v>Total</c:v>
                </c:pt>
              </c:strCache>
            </c:strRef>
          </c:tx>
          <c:spPr>
            <a:solidFill>
              <a:schemeClr val="accent4">
                <a:lumMod val="75000"/>
              </a:schemeClr>
            </a:solidFill>
            <a:ln>
              <a:noFill/>
            </a:ln>
          </c:spPr>
          <c:dPt>
            <c:idx val="0"/>
            <c:bubble3D val="0"/>
            <c:spPr>
              <a:solidFill>
                <a:schemeClr val="accent4">
                  <a:lumMod val="20000"/>
                  <a:lumOff val="80000"/>
                </a:schemeClr>
              </a:solidFill>
              <a:ln w="19050">
                <a:noFill/>
              </a:ln>
              <a:effectLst/>
            </c:spPr>
            <c:extLst>
              <c:ext xmlns:c16="http://schemas.microsoft.com/office/drawing/2014/chart" uri="{C3380CC4-5D6E-409C-BE32-E72D297353CC}">
                <c16:uniqueId val="{00000001-5385-4EEC-9E8B-1891F146786F}"/>
              </c:ext>
            </c:extLst>
          </c:dPt>
          <c:dPt>
            <c:idx val="1"/>
            <c:bubble3D val="0"/>
            <c:spPr>
              <a:solidFill>
                <a:schemeClr val="accent4">
                  <a:lumMod val="40000"/>
                  <a:lumOff val="60000"/>
                </a:schemeClr>
              </a:solidFill>
              <a:ln w="19050">
                <a:noFill/>
              </a:ln>
              <a:effectLst/>
            </c:spPr>
            <c:extLst>
              <c:ext xmlns:c16="http://schemas.microsoft.com/office/drawing/2014/chart" uri="{C3380CC4-5D6E-409C-BE32-E72D297353CC}">
                <c16:uniqueId val="{00000003-5385-4EEC-9E8B-1891F146786F}"/>
              </c:ext>
            </c:extLst>
          </c:dPt>
          <c:dPt>
            <c:idx val="2"/>
            <c:bubble3D val="0"/>
            <c:spPr>
              <a:solidFill>
                <a:schemeClr val="accent4">
                  <a:lumMod val="75000"/>
                </a:schemeClr>
              </a:solidFill>
              <a:ln w="19050">
                <a:noFill/>
              </a:ln>
              <a:effectLst/>
            </c:spPr>
            <c:extLst>
              <c:ext xmlns:c16="http://schemas.microsoft.com/office/drawing/2014/chart" uri="{C3380CC4-5D6E-409C-BE32-E72D297353CC}">
                <c16:uniqueId val="{00000005-5385-4EEC-9E8B-1891F146786F}"/>
              </c:ext>
            </c:extLst>
          </c:dPt>
          <c:dLbls>
            <c:dLbl>
              <c:idx val="0"/>
              <c:layout>
                <c:manualLayout>
                  <c:x val="-9.002492188264917E-2"/>
                  <c:y val="0.1752032107724969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85-4EEC-9E8B-1891F146786F}"/>
                </c:ext>
              </c:extLst>
            </c:dLbl>
            <c:dLbl>
              <c:idx val="1"/>
              <c:layout>
                <c:manualLayout>
                  <c:x val="-0.11548094562245985"/>
                  <c:y val="-7.641583403087551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385-4EEC-9E8B-1891F146786F}"/>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TABLE'!$CB$4:$CB$7</c:f>
              <c:strCache>
                <c:ptCount val="3"/>
                <c:pt idx="0">
                  <c:v>High risk</c:v>
                </c:pt>
                <c:pt idx="1">
                  <c:v>Low risk</c:v>
                </c:pt>
                <c:pt idx="2">
                  <c:v>Medium risk</c:v>
                </c:pt>
              </c:strCache>
            </c:strRef>
          </c:cat>
          <c:val>
            <c:numRef>
              <c:f>'PIVOT TABLE'!$CC$4:$CC$7</c:f>
              <c:numCache>
                <c:formatCode>0%</c:formatCode>
                <c:ptCount val="3"/>
                <c:pt idx="0">
                  <c:v>0.25666666666666665</c:v>
                </c:pt>
                <c:pt idx="1">
                  <c:v>0.10666666666666667</c:v>
                </c:pt>
                <c:pt idx="2">
                  <c:v>0.63666666666666671</c:v>
                </c:pt>
              </c:numCache>
            </c:numRef>
          </c:val>
          <c:extLst>
            <c:ext xmlns:c16="http://schemas.microsoft.com/office/drawing/2014/chart" uri="{C3380CC4-5D6E-409C-BE32-E72D297353CC}">
              <c16:uniqueId val="{00000006-5385-4EEC-9E8B-1891F14678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'PIVOT TABLE'!$CB$17</c:f>
              <c:strCache>
                <c:ptCount val="1"/>
                <c:pt idx="0">
                  <c:v>2024</c:v>
                </c:pt>
              </c:strCache>
            </c:strRef>
          </c:tx>
          <c:spPr>
            <a:solidFill>
              <a:schemeClr val="accent4">
                <a:lumMod val="20000"/>
                <a:lumOff val="80000"/>
              </a:schemeClr>
            </a:solidFill>
            <a:ln>
              <a:solidFill>
                <a:schemeClr val="tx1"/>
              </a:solidFill>
            </a:ln>
            <a:effectLst/>
          </c:spPr>
          <c:invertIfNegative val="0"/>
          <c:cat>
            <c:strRef>
              <c:f>'PIVOT TABLE'!$CA$18:$CA$20</c:f>
              <c:strCache>
                <c:ptCount val="3"/>
                <c:pt idx="0">
                  <c:v>HIGH RISK</c:v>
                </c:pt>
                <c:pt idx="1">
                  <c:v>MEDIUM RISK</c:v>
                </c:pt>
                <c:pt idx="2">
                  <c:v>LOW RISK</c:v>
                </c:pt>
              </c:strCache>
            </c:strRef>
          </c:cat>
          <c:val>
            <c:numRef>
              <c:f>'PIVOT TABLE'!$CB$18:$CB$20</c:f>
              <c:numCache>
                <c:formatCode>0</c:formatCode>
                <c:ptCount val="3"/>
                <c:pt idx="0">
                  <c:v>9.675324675324676</c:v>
                </c:pt>
                <c:pt idx="1">
                  <c:v>10.507853403141361</c:v>
                </c:pt>
                <c:pt idx="2">
                  <c:v>8.40625</c:v>
                </c:pt>
              </c:numCache>
            </c:numRef>
          </c:val>
          <c:extLst>
            <c:ext xmlns:c16="http://schemas.microsoft.com/office/drawing/2014/chart" uri="{C3380CC4-5D6E-409C-BE32-E72D297353CC}">
              <c16:uniqueId val="{00000000-3AE3-4D66-93C1-9F836B858401}"/>
            </c:ext>
          </c:extLst>
        </c:ser>
        <c:ser>
          <c:idx val="1"/>
          <c:order val="1"/>
          <c:tx>
            <c:strRef>
              <c:f>'PIVOT TABLE'!$CC$17</c:f>
              <c:strCache>
                <c:ptCount val="1"/>
                <c:pt idx="0">
                  <c:v>2023</c:v>
                </c:pt>
              </c:strCache>
            </c:strRef>
          </c:tx>
          <c:spPr>
            <a:solidFill>
              <a:schemeClr val="accent4">
                <a:lumMod val="75000"/>
              </a:schemeClr>
            </a:solidFill>
            <a:ln>
              <a:solidFill>
                <a:schemeClr val="tx1"/>
              </a:solidFill>
            </a:ln>
            <a:effectLst/>
          </c:spPr>
          <c:invertIfNegative val="0"/>
          <c:cat>
            <c:strRef>
              <c:f>'PIVOT TABLE'!$CA$18:$CA$20</c:f>
              <c:strCache>
                <c:ptCount val="3"/>
                <c:pt idx="0">
                  <c:v>HIGH RISK</c:v>
                </c:pt>
                <c:pt idx="1">
                  <c:v>MEDIUM RISK</c:v>
                </c:pt>
                <c:pt idx="2">
                  <c:v>LOW RISK</c:v>
                </c:pt>
              </c:strCache>
            </c:strRef>
          </c:cat>
          <c:val>
            <c:numRef>
              <c:f>'PIVOT TABLE'!$CC$18:$CC$20</c:f>
              <c:numCache>
                <c:formatCode>General</c:formatCode>
                <c:ptCount val="3"/>
                <c:pt idx="0" formatCode="0">
                  <c:v>10.311688311688311</c:v>
                </c:pt>
                <c:pt idx="1">
                  <c:v>10</c:v>
                </c:pt>
                <c:pt idx="2" formatCode="0">
                  <c:v>9.4397905759162306</c:v>
                </c:pt>
              </c:numCache>
            </c:numRef>
          </c:val>
          <c:extLst>
            <c:ext xmlns:c16="http://schemas.microsoft.com/office/drawing/2014/chart" uri="{C3380CC4-5D6E-409C-BE32-E72D297353CC}">
              <c16:uniqueId val="{00000001-3AE3-4D66-93C1-9F836B858401}"/>
            </c:ext>
          </c:extLst>
        </c:ser>
        <c:dLbls>
          <c:showLegendKey val="0"/>
          <c:showVal val="0"/>
          <c:showCatName val="0"/>
          <c:showSerName val="0"/>
          <c:showPercent val="0"/>
          <c:showBubbleSize val="0"/>
        </c:dLbls>
        <c:gapWidth val="150"/>
        <c:overlap val="100"/>
        <c:axId val="577811727"/>
        <c:axId val="577803407"/>
      </c:barChart>
      <c:catAx>
        <c:axId val="57781172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577803407"/>
        <c:crosses val="autoZero"/>
        <c:auto val="1"/>
        <c:lblAlgn val="ctr"/>
        <c:lblOffset val="100"/>
        <c:noMultiLvlLbl val="0"/>
      </c:catAx>
      <c:valAx>
        <c:axId val="577803407"/>
        <c:scaling>
          <c:orientation val="minMax"/>
        </c:scaling>
        <c:delete val="0"/>
        <c:axPos val="l"/>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577811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health analytics portfolio.xlsx]PIVOT TABLE!PivotTable5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TABLE'!$T$3</c:f>
              <c:strCache>
                <c:ptCount val="1"/>
                <c:pt idx="0">
                  <c:v>Total</c:v>
                </c:pt>
              </c:strCache>
            </c:strRef>
          </c:tx>
          <c:spPr>
            <a:solidFill>
              <a:schemeClr val="accent4">
                <a:lumMod val="75000"/>
              </a:schemeClr>
            </a:solidFill>
            <a:ln>
              <a:solidFill>
                <a:schemeClr val="tx1"/>
              </a:solidFill>
            </a:ln>
            <a:effectLst/>
          </c:spPr>
          <c:invertIfNegative val="0"/>
          <c:cat>
            <c:strRef>
              <c:f>'PIVOT TABLE'!$S$4:$S$9</c:f>
              <c:strCache>
                <c:ptCount val="5"/>
                <c:pt idx="0">
                  <c:v>Asthma</c:v>
                </c:pt>
                <c:pt idx="1">
                  <c:v>diabetes</c:v>
                </c:pt>
                <c:pt idx="2">
                  <c:v>hypertension</c:v>
                </c:pt>
                <c:pt idx="3">
                  <c:v>None</c:v>
                </c:pt>
                <c:pt idx="4">
                  <c:v>Obesity</c:v>
                </c:pt>
              </c:strCache>
            </c:strRef>
          </c:cat>
          <c:val>
            <c:numRef>
              <c:f>'PIVOT TABLE'!$T$4:$T$9</c:f>
              <c:numCache>
                <c:formatCode>0%</c:formatCode>
                <c:ptCount val="5"/>
                <c:pt idx="0">
                  <c:v>7.6666666666666661E-2</c:v>
                </c:pt>
                <c:pt idx="1">
                  <c:v>0.15333333333333332</c:v>
                </c:pt>
                <c:pt idx="2">
                  <c:v>0.22333333333333333</c:v>
                </c:pt>
                <c:pt idx="3">
                  <c:v>0.45</c:v>
                </c:pt>
                <c:pt idx="4">
                  <c:v>9.6666666666666665E-2</c:v>
                </c:pt>
              </c:numCache>
            </c:numRef>
          </c:val>
          <c:extLst>
            <c:ext xmlns:c16="http://schemas.microsoft.com/office/drawing/2014/chart" uri="{C3380CC4-5D6E-409C-BE32-E72D297353CC}">
              <c16:uniqueId val="{00000000-9A6E-4B99-BFC7-2B5999EFA6C9}"/>
            </c:ext>
          </c:extLst>
        </c:ser>
        <c:dLbls>
          <c:showLegendKey val="0"/>
          <c:showVal val="0"/>
          <c:showCatName val="0"/>
          <c:showSerName val="0"/>
          <c:showPercent val="0"/>
          <c:showBubbleSize val="0"/>
        </c:dLbls>
        <c:gapWidth val="182"/>
        <c:axId val="613466911"/>
        <c:axId val="613467327"/>
      </c:barChart>
      <c:catAx>
        <c:axId val="613466911"/>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613467327"/>
        <c:crosses val="autoZero"/>
        <c:auto val="1"/>
        <c:lblAlgn val="ctr"/>
        <c:lblOffset val="100"/>
        <c:noMultiLvlLbl val="0"/>
      </c:catAx>
      <c:valAx>
        <c:axId val="613467327"/>
        <c:scaling>
          <c:orientation val="minMax"/>
        </c:scaling>
        <c:delete val="0"/>
        <c:axPos val="b"/>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613466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health analytics portfolio.xlsx]PIVOT TABLE!PivotTable4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TABLE'!$BH$3</c:f>
              <c:strCache>
                <c:ptCount val="1"/>
                <c:pt idx="0">
                  <c:v>Total</c:v>
                </c:pt>
              </c:strCache>
            </c:strRef>
          </c:tx>
          <c:spPr>
            <a:solidFill>
              <a:schemeClr val="accent4">
                <a:lumMod val="75000"/>
              </a:schemeClr>
            </a:solidFill>
            <a:ln>
              <a:solidFill>
                <a:schemeClr val="tx1"/>
              </a:solidFill>
            </a:ln>
            <a:effectLst/>
          </c:spPr>
          <c:invertIfNegative val="0"/>
          <c:cat>
            <c:strRef>
              <c:f>'PIVOT TABLE'!$BG$4:$BG$8</c:f>
              <c:strCache>
                <c:ptCount val="4"/>
                <c:pt idx="0">
                  <c:v>Fully vaccinated</c:v>
                </c:pt>
                <c:pt idx="1">
                  <c:v>Not vaccinated</c:v>
                </c:pt>
                <c:pt idx="2">
                  <c:v>Partially vaccinated</c:v>
                </c:pt>
                <c:pt idx="3">
                  <c:v>Unknown</c:v>
                </c:pt>
              </c:strCache>
            </c:strRef>
          </c:cat>
          <c:val>
            <c:numRef>
              <c:f>'PIVOT TABLE'!$BH$4:$BH$8</c:f>
              <c:numCache>
                <c:formatCode>0.00%</c:formatCode>
                <c:ptCount val="4"/>
                <c:pt idx="0">
                  <c:v>0.24</c:v>
                </c:pt>
                <c:pt idx="1">
                  <c:v>0.25666666666666665</c:v>
                </c:pt>
                <c:pt idx="2">
                  <c:v>0.21666666666666667</c:v>
                </c:pt>
                <c:pt idx="3">
                  <c:v>0.28666666666666668</c:v>
                </c:pt>
              </c:numCache>
            </c:numRef>
          </c:val>
          <c:extLst>
            <c:ext xmlns:c16="http://schemas.microsoft.com/office/drawing/2014/chart" uri="{C3380CC4-5D6E-409C-BE32-E72D297353CC}">
              <c16:uniqueId val="{00000000-9D40-42C2-BECA-5FDB55FACF1E}"/>
            </c:ext>
          </c:extLst>
        </c:ser>
        <c:dLbls>
          <c:showLegendKey val="0"/>
          <c:showVal val="0"/>
          <c:showCatName val="0"/>
          <c:showSerName val="0"/>
          <c:showPercent val="0"/>
          <c:showBubbleSize val="0"/>
        </c:dLbls>
        <c:gapWidth val="219"/>
        <c:overlap val="-27"/>
        <c:axId val="577797583"/>
        <c:axId val="577812975"/>
      </c:barChart>
      <c:catAx>
        <c:axId val="57779758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577812975"/>
        <c:crosses val="autoZero"/>
        <c:auto val="1"/>
        <c:lblAlgn val="ctr"/>
        <c:lblOffset val="100"/>
        <c:noMultiLvlLbl val="0"/>
      </c:catAx>
      <c:valAx>
        <c:axId val="577812975"/>
        <c:scaling>
          <c:orientation val="minMax"/>
        </c:scaling>
        <c:delete val="0"/>
        <c:axPos val="l"/>
        <c:numFmt formatCode="0.00%" sourceLinked="1"/>
        <c:majorTickMark val="none"/>
        <c:minorTickMark val="none"/>
        <c:tickLblPos val="nextTo"/>
        <c:spPr>
          <a:solidFill>
            <a:schemeClr val="accent4">
              <a:lumMod val="60000"/>
              <a:lumOff val="40000"/>
            </a:schemeClr>
          </a:solidFill>
          <a:ln>
            <a:solidFill>
              <a:schemeClr val="tx1"/>
            </a:solidFill>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57779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health analytics portfolio.xlsx]PIVOT TABLE!PivotTable10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w="158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TABLE'!$BR$18</c:f>
              <c:strCache>
                <c:ptCount val="1"/>
                <c:pt idx="0">
                  <c:v>Total</c:v>
                </c:pt>
              </c:strCache>
            </c:strRef>
          </c:tx>
          <c:spPr>
            <a:solidFill>
              <a:schemeClr val="accent4">
                <a:lumMod val="75000"/>
              </a:schemeClr>
            </a:solidFill>
            <a:ln w="15875">
              <a:solidFill>
                <a:schemeClr val="tx1"/>
              </a:solidFill>
            </a:ln>
            <a:effectLst/>
          </c:spPr>
          <c:invertIfNegative val="0"/>
          <c:cat>
            <c:strRef>
              <c:f>'PIVOT TABLE'!$BQ$19:$BQ$26</c:f>
              <c:strCache>
                <c:ptCount val="7"/>
                <c:pt idx="0">
                  <c:v>Finance</c:v>
                </c:pt>
                <c:pt idx="1">
                  <c:v>HR</c:v>
                </c:pt>
                <c:pt idx="2">
                  <c:v>IT</c:v>
                </c:pt>
                <c:pt idx="3">
                  <c:v>Legal</c:v>
                </c:pt>
                <c:pt idx="4">
                  <c:v>Marketing</c:v>
                </c:pt>
                <c:pt idx="5">
                  <c:v>Operations</c:v>
                </c:pt>
                <c:pt idx="6">
                  <c:v>Sales</c:v>
                </c:pt>
              </c:strCache>
            </c:strRef>
          </c:cat>
          <c:val>
            <c:numRef>
              <c:f>'PIVOT TABLE'!$BR$19:$BR$26</c:f>
              <c:numCache>
                <c:formatCode>General</c:formatCode>
                <c:ptCount val="7"/>
                <c:pt idx="0">
                  <c:v>204</c:v>
                </c:pt>
                <c:pt idx="1">
                  <c:v>137</c:v>
                </c:pt>
                <c:pt idx="2">
                  <c:v>183</c:v>
                </c:pt>
                <c:pt idx="3">
                  <c:v>98</c:v>
                </c:pt>
                <c:pt idx="4">
                  <c:v>53</c:v>
                </c:pt>
                <c:pt idx="5">
                  <c:v>78</c:v>
                </c:pt>
                <c:pt idx="6">
                  <c:v>81</c:v>
                </c:pt>
              </c:numCache>
            </c:numRef>
          </c:val>
          <c:extLst>
            <c:ext xmlns:c16="http://schemas.microsoft.com/office/drawing/2014/chart" uri="{C3380CC4-5D6E-409C-BE32-E72D297353CC}">
              <c16:uniqueId val="{00000000-AD7A-4A55-B8E4-98FC3DD74A92}"/>
            </c:ext>
          </c:extLst>
        </c:ser>
        <c:dLbls>
          <c:showLegendKey val="0"/>
          <c:showVal val="0"/>
          <c:showCatName val="0"/>
          <c:showSerName val="0"/>
          <c:showPercent val="0"/>
          <c:showBubbleSize val="0"/>
        </c:dLbls>
        <c:gapWidth val="182"/>
        <c:axId val="718015023"/>
        <c:axId val="718020847"/>
      </c:barChart>
      <c:catAx>
        <c:axId val="718015023"/>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718020847"/>
        <c:crosses val="autoZero"/>
        <c:auto val="1"/>
        <c:lblAlgn val="ctr"/>
        <c:lblOffset val="100"/>
        <c:noMultiLvlLbl val="0"/>
      </c:catAx>
      <c:valAx>
        <c:axId val="718020847"/>
        <c:scaling>
          <c:orientation val="minMax"/>
        </c:scaling>
        <c:delete val="0"/>
        <c:axPos val="b"/>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718015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67270</xdr:colOff>
      <xdr:row>1</xdr:row>
      <xdr:rowOff>25314</xdr:rowOff>
    </xdr:from>
    <xdr:to>
      <xdr:col>20</xdr:col>
      <xdr:colOff>147481</xdr:colOff>
      <xdr:row>34</xdr:row>
      <xdr:rowOff>73810</xdr:rowOff>
    </xdr:to>
    <xdr:sp macro="" textlink="">
      <xdr:nvSpPr>
        <xdr:cNvPr id="11" name="Rectangle 10">
          <a:extLst>
            <a:ext uri="{FF2B5EF4-FFF2-40B4-BE49-F238E27FC236}">
              <a16:creationId xmlns:a16="http://schemas.microsoft.com/office/drawing/2014/main" id="{C8C9E127-0A40-498D-A50C-98300CEB2E1B}"/>
            </a:ext>
          </a:extLst>
        </xdr:cNvPr>
        <xdr:cNvSpPr/>
      </xdr:nvSpPr>
      <xdr:spPr>
        <a:xfrm>
          <a:off x="67270" y="187442"/>
          <a:ext cx="12239785" cy="5398708"/>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120316</xdr:colOff>
      <xdr:row>0</xdr:row>
      <xdr:rowOff>120315</xdr:rowOff>
    </xdr:from>
    <xdr:to>
      <xdr:col>2</xdr:col>
      <xdr:colOff>120316</xdr:colOff>
      <xdr:row>35</xdr:row>
      <xdr:rowOff>127000</xdr:rowOff>
    </xdr:to>
    <xdr:sp macro="" textlink="">
      <xdr:nvSpPr>
        <xdr:cNvPr id="14" name="Rectangle: Rounded Corners 13">
          <a:extLst>
            <a:ext uri="{FF2B5EF4-FFF2-40B4-BE49-F238E27FC236}">
              <a16:creationId xmlns:a16="http://schemas.microsoft.com/office/drawing/2014/main" id="{7270D030-B6E9-4A50-807F-21541D3850CA}"/>
            </a:ext>
          </a:extLst>
        </xdr:cNvPr>
        <xdr:cNvSpPr/>
      </xdr:nvSpPr>
      <xdr:spPr>
        <a:xfrm>
          <a:off x="120316" y="120315"/>
          <a:ext cx="1208049" cy="5969490"/>
        </a:xfrm>
        <a:prstGeom prst="roundRect">
          <a:avLst/>
        </a:prstGeom>
        <a:solidFill>
          <a:schemeClr val="accent4">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133685</xdr:colOff>
      <xdr:row>0</xdr:row>
      <xdr:rowOff>140369</xdr:rowOff>
    </xdr:from>
    <xdr:to>
      <xdr:col>21</xdr:col>
      <xdr:colOff>88900</xdr:colOff>
      <xdr:row>7</xdr:row>
      <xdr:rowOff>132293</xdr:rowOff>
    </xdr:to>
    <xdr:sp macro="" textlink="">
      <xdr:nvSpPr>
        <xdr:cNvPr id="15" name="Rectangle 14">
          <a:extLst>
            <a:ext uri="{FF2B5EF4-FFF2-40B4-BE49-F238E27FC236}">
              <a16:creationId xmlns:a16="http://schemas.microsoft.com/office/drawing/2014/main" id="{1F7D6988-72A4-427E-87FF-64DD73D7AEDF}"/>
            </a:ext>
          </a:extLst>
        </xdr:cNvPr>
        <xdr:cNvSpPr/>
      </xdr:nvSpPr>
      <xdr:spPr>
        <a:xfrm>
          <a:off x="1350768" y="140369"/>
          <a:ext cx="11517507" cy="1149476"/>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140369</xdr:colOff>
      <xdr:row>7</xdr:row>
      <xdr:rowOff>153738</xdr:rowOff>
    </xdr:from>
    <xdr:to>
      <xdr:col>8</xdr:col>
      <xdr:colOff>153736</xdr:colOff>
      <xdr:row>21</xdr:row>
      <xdr:rowOff>8824</xdr:rowOff>
    </xdr:to>
    <xdr:sp macro="" textlink="">
      <xdr:nvSpPr>
        <xdr:cNvPr id="16" name="Rectangle 15">
          <a:extLst>
            <a:ext uri="{FF2B5EF4-FFF2-40B4-BE49-F238E27FC236}">
              <a16:creationId xmlns:a16="http://schemas.microsoft.com/office/drawing/2014/main" id="{C1A44339-9F9C-40C1-9334-798474AFB42B}"/>
            </a:ext>
          </a:extLst>
        </xdr:cNvPr>
        <xdr:cNvSpPr/>
      </xdr:nvSpPr>
      <xdr:spPr>
        <a:xfrm>
          <a:off x="1356895" y="1323475"/>
          <a:ext cx="3662946" cy="21945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180476</xdr:colOff>
      <xdr:row>7</xdr:row>
      <xdr:rowOff>160421</xdr:rowOff>
    </xdr:from>
    <xdr:to>
      <xdr:col>14</xdr:col>
      <xdr:colOff>249948</xdr:colOff>
      <xdr:row>21</xdr:row>
      <xdr:rowOff>20856</xdr:rowOff>
    </xdr:to>
    <xdr:sp macro="" textlink="">
      <xdr:nvSpPr>
        <xdr:cNvPr id="17" name="Rectangle 16">
          <a:extLst>
            <a:ext uri="{FF2B5EF4-FFF2-40B4-BE49-F238E27FC236}">
              <a16:creationId xmlns:a16="http://schemas.microsoft.com/office/drawing/2014/main" id="{42C31C35-9F91-4F57-8BA3-E751D278D2FE}"/>
            </a:ext>
          </a:extLst>
        </xdr:cNvPr>
        <xdr:cNvSpPr/>
      </xdr:nvSpPr>
      <xdr:spPr>
        <a:xfrm>
          <a:off x="5044306" y="1295315"/>
          <a:ext cx="3717344" cy="213022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279399</xdr:colOff>
      <xdr:row>8</xdr:row>
      <xdr:rowOff>19843</xdr:rowOff>
    </xdr:from>
    <xdr:to>
      <xdr:col>21</xdr:col>
      <xdr:colOff>135107</xdr:colOff>
      <xdr:row>20</xdr:row>
      <xdr:rowOff>141862</xdr:rowOff>
    </xdr:to>
    <xdr:sp macro="" textlink="">
      <xdr:nvSpPr>
        <xdr:cNvPr id="18" name="Rectangle 17">
          <a:extLst>
            <a:ext uri="{FF2B5EF4-FFF2-40B4-BE49-F238E27FC236}">
              <a16:creationId xmlns:a16="http://schemas.microsoft.com/office/drawing/2014/main" id="{8EF88378-739F-4690-BFF8-B5E6D834260D}"/>
            </a:ext>
          </a:extLst>
        </xdr:cNvPr>
        <xdr:cNvSpPr/>
      </xdr:nvSpPr>
      <xdr:spPr>
        <a:xfrm>
          <a:off x="8798982" y="1342760"/>
          <a:ext cx="4115500" cy="21063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209415</xdr:colOff>
      <xdr:row>21</xdr:row>
      <xdr:rowOff>60798</xdr:rowOff>
    </xdr:from>
    <xdr:to>
      <xdr:col>14</xdr:col>
      <xdr:colOff>256701</xdr:colOff>
      <xdr:row>34</xdr:row>
      <xdr:rowOff>51604</xdr:rowOff>
    </xdr:to>
    <xdr:sp macro="" textlink="">
      <xdr:nvSpPr>
        <xdr:cNvPr id="19" name="Rectangle 18">
          <a:extLst>
            <a:ext uri="{FF2B5EF4-FFF2-40B4-BE49-F238E27FC236}">
              <a16:creationId xmlns:a16="http://schemas.microsoft.com/office/drawing/2014/main" id="{B1342F55-3D54-4354-AE62-D8FAC2D0C438}"/>
            </a:ext>
          </a:extLst>
        </xdr:cNvPr>
        <xdr:cNvSpPr/>
      </xdr:nvSpPr>
      <xdr:spPr>
        <a:xfrm>
          <a:off x="5073245" y="3465479"/>
          <a:ext cx="3695158" cy="209846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279400</xdr:colOff>
      <xdr:row>21</xdr:row>
      <xdr:rowOff>60798</xdr:rowOff>
    </xdr:from>
    <xdr:to>
      <xdr:col>21</xdr:col>
      <xdr:colOff>127000</xdr:colOff>
      <xdr:row>34</xdr:row>
      <xdr:rowOff>30213</xdr:rowOff>
    </xdr:to>
    <xdr:sp macro="" textlink="">
      <xdr:nvSpPr>
        <xdr:cNvPr id="20" name="Rectangle 19">
          <a:extLst>
            <a:ext uri="{FF2B5EF4-FFF2-40B4-BE49-F238E27FC236}">
              <a16:creationId xmlns:a16="http://schemas.microsoft.com/office/drawing/2014/main" id="{F59D6CC0-8DA9-4A4A-988D-51299D6C023E}"/>
            </a:ext>
          </a:extLst>
        </xdr:cNvPr>
        <xdr:cNvSpPr/>
      </xdr:nvSpPr>
      <xdr:spPr>
        <a:xfrm>
          <a:off x="8791102" y="3465479"/>
          <a:ext cx="4103451" cy="20770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131014</xdr:colOff>
      <xdr:row>21</xdr:row>
      <xdr:rowOff>27021</xdr:rowOff>
    </xdr:from>
    <xdr:to>
      <xdr:col>8</xdr:col>
      <xdr:colOff>168883</xdr:colOff>
      <xdr:row>34</xdr:row>
      <xdr:rowOff>43582</xdr:rowOff>
    </xdr:to>
    <xdr:sp macro="" textlink="">
      <xdr:nvSpPr>
        <xdr:cNvPr id="21" name="Rectangle 20">
          <a:extLst>
            <a:ext uri="{FF2B5EF4-FFF2-40B4-BE49-F238E27FC236}">
              <a16:creationId xmlns:a16="http://schemas.microsoft.com/office/drawing/2014/main" id="{725F9783-AC80-4FD8-B888-FE4B9340F92F}"/>
            </a:ext>
          </a:extLst>
        </xdr:cNvPr>
        <xdr:cNvSpPr/>
      </xdr:nvSpPr>
      <xdr:spPr>
        <a:xfrm>
          <a:off x="1346971" y="3431702"/>
          <a:ext cx="3685742" cy="21242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129592</xdr:colOff>
      <xdr:row>9</xdr:row>
      <xdr:rowOff>40106</xdr:rowOff>
    </xdr:from>
    <xdr:to>
      <xdr:col>8</xdr:col>
      <xdr:colOff>160421</xdr:colOff>
      <xdr:row>20</xdr:row>
      <xdr:rowOff>160420</xdr:rowOff>
    </xdr:to>
    <xdr:graphicFrame macro="">
      <xdr:nvGraphicFramePr>
        <xdr:cNvPr id="22" name="Chart 21">
          <a:extLst>
            <a:ext uri="{FF2B5EF4-FFF2-40B4-BE49-F238E27FC236}">
              <a16:creationId xmlns:a16="http://schemas.microsoft.com/office/drawing/2014/main" id="{799E43D6-6DB8-4187-95E6-E18794FDD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120317</xdr:colOff>
      <xdr:row>7</xdr:row>
      <xdr:rowOff>152400</xdr:rowOff>
    </xdr:from>
    <xdr:to>
      <xdr:col>8</xdr:col>
      <xdr:colOff>160421</xdr:colOff>
      <xdr:row>9</xdr:row>
      <xdr:rowOff>113632</xdr:rowOff>
    </xdr:to>
    <xdr:sp macro="" textlink="">
      <xdr:nvSpPr>
        <xdr:cNvPr id="2" name="TextBox 1">
          <a:extLst>
            <a:ext uri="{FF2B5EF4-FFF2-40B4-BE49-F238E27FC236}">
              <a16:creationId xmlns:a16="http://schemas.microsoft.com/office/drawing/2014/main" id="{D25FD6F0-C207-42F4-80D7-2539657928A2}"/>
            </a:ext>
          </a:extLst>
        </xdr:cNvPr>
        <xdr:cNvSpPr txBox="1"/>
      </xdr:nvSpPr>
      <xdr:spPr>
        <a:xfrm>
          <a:off x="1339517" y="1308100"/>
          <a:ext cx="3697704" cy="291432"/>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Times New Roman" panose="02020603050405020304" pitchFamily="18" charset="0"/>
              <a:cs typeface="Times New Roman" panose="02020603050405020304" pitchFamily="18" charset="0"/>
            </a:rPr>
            <a:t>SICK</a:t>
          </a:r>
          <a:r>
            <a:rPr lang="en-US" sz="1100" baseline="0">
              <a:latin typeface="Times New Roman" panose="02020603050405020304" pitchFamily="18" charset="0"/>
              <a:cs typeface="Times New Roman" panose="02020603050405020304" pitchFamily="18" charset="0"/>
            </a:rPr>
            <a:t> DAYS BY DEPARTMENT AND YEAR</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8</xdr:col>
      <xdr:colOff>180475</xdr:colOff>
      <xdr:row>9</xdr:row>
      <xdr:rowOff>120316</xdr:rowOff>
    </xdr:from>
    <xdr:to>
      <xdr:col>14</xdr:col>
      <xdr:colOff>243192</xdr:colOff>
      <xdr:row>21</xdr:row>
      <xdr:rowOff>6684</xdr:rowOff>
    </xdr:to>
    <xdr:graphicFrame macro="">
      <xdr:nvGraphicFramePr>
        <xdr:cNvPr id="23" name="Chart 22">
          <a:extLst>
            <a:ext uri="{FF2B5EF4-FFF2-40B4-BE49-F238E27FC236}">
              <a16:creationId xmlns:a16="http://schemas.microsoft.com/office/drawing/2014/main" id="{FAD4B53E-E7ED-4DFF-9844-98CE73CFB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172454</xdr:colOff>
      <xdr:row>8</xdr:row>
      <xdr:rowOff>0</xdr:rowOff>
    </xdr:from>
    <xdr:to>
      <xdr:col>14</xdr:col>
      <xdr:colOff>244740</xdr:colOff>
      <xdr:row>9</xdr:row>
      <xdr:rowOff>152400</xdr:rowOff>
    </xdr:to>
    <xdr:sp macro="" textlink="">
      <xdr:nvSpPr>
        <xdr:cNvPr id="24" name="TextBox 23">
          <a:extLst>
            <a:ext uri="{FF2B5EF4-FFF2-40B4-BE49-F238E27FC236}">
              <a16:creationId xmlns:a16="http://schemas.microsoft.com/office/drawing/2014/main" id="{62A27938-09D3-459E-BC73-EE2B77D44FEE}"/>
            </a:ext>
          </a:extLst>
        </xdr:cNvPr>
        <xdr:cNvSpPr txBox="1"/>
      </xdr:nvSpPr>
      <xdr:spPr>
        <a:xfrm>
          <a:off x="5040787" y="1322917"/>
          <a:ext cx="3723536" cy="317764"/>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Times New Roman" panose="02020603050405020304" pitchFamily="18" charset="0"/>
              <a:cs typeface="Times New Roman" panose="02020603050405020304" pitchFamily="18" charset="0"/>
            </a:rPr>
            <a:t>EMPLOYEES</a:t>
          </a:r>
          <a:r>
            <a:rPr lang="en-US" sz="1100" baseline="0">
              <a:latin typeface="Times New Roman" panose="02020603050405020304" pitchFamily="18" charset="0"/>
              <a:cs typeface="Times New Roman" panose="02020603050405020304" pitchFamily="18" charset="0"/>
            </a:rPr>
            <a:t> BY RISK CATEGORY</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14</xdr:col>
      <xdr:colOff>266700</xdr:colOff>
      <xdr:row>9</xdr:row>
      <xdr:rowOff>127000</xdr:rowOff>
    </xdr:from>
    <xdr:to>
      <xdr:col>21</xdr:col>
      <xdr:colOff>139700</xdr:colOff>
      <xdr:row>21</xdr:row>
      <xdr:rowOff>27021</xdr:rowOff>
    </xdr:to>
    <xdr:graphicFrame macro="">
      <xdr:nvGraphicFramePr>
        <xdr:cNvPr id="25" name="Chart 24">
          <a:extLst>
            <a:ext uri="{FF2B5EF4-FFF2-40B4-BE49-F238E27FC236}">
              <a16:creationId xmlns:a16="http://schemas.microsoft.com/office/drawing/2014/main" id="{E34B9591-98CF-48F1-BBB9-22F7EE085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277812</xdr:colOff>
      <xdr:row>7</xdr:row>
      <xdr:rowOff>152136</xdr:rowOff>
    </xdr:from>
    <xdr:to>
      <xdr:col>21</xdr:col>
      <xdr:colOff>130255</xdr:colOff>
      <xdr:row>9</xdr:row>
      <xdr:rowOff>130256</xdr:rowOff>
    </xdr:to>
    <xdr:sp macro="" textlink="">
      <xdr:nvSpPr>
        <xdr:cNvPr id="26" name="TextBox 25">
          <a:extLst>
            <a:ext uri="{FF2B5EF4-FFF2-40B4-BE49-F238E27FC236}">
              <a16:creationId xmlns:a16="http://schemas.microsoft.com/office/drawing/2014/main" id="{C867DE0A-5845-475C-90BC-D837CC5F2C14}"/>
            </a:ext>
          </a:extLst>
        </xdr:cNvPr>
        <xdr:cNvSpPr txBox="1"/>
      </xdr:nvSpPr>
      <xdr:spPr>
        <a:xfrm>
          <a:off x="8797395" y="1309688"/>
          <a:ext cx="4112235" cy="308849"/>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Times New Roman" panose="02020603050405020304" pitchFamily="18" charset="0"/>
              <a:cs typeface="Times New Roman" panose="02020603050405020304" pitchFamily="18" charset="0"/>
            </a:rPr>
            <a:t>AVERAGE</a:t>
          </a:r>
          <a:r>
            <a:rPr lang="en-US" sz="1100" baseline="0">
              <a:latin typeface="Times New Roman" panose="02020603050405020304" pitchFamily="18" charset="0"/>
              <a:cs typeface="Times New Roman" panose="02020603050405020304" pitchFamily="18" charset="0"/>
            </a:rPr>
            <a:t> SICK DAYS BY EMPLOYEE PER YEAR</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14</xdr:col>
      <xdr:colOff>279400</xdr:colOff>
      <xdr:row>22</xdr:row>
      <xdr:rowOff>127000</xdr:rowOff>
    </xdr:from>
    <xdr:to>
      <xdr:col>21</xdr:col>
      <xdr:colOff>135107</xdr:colOff>
      <xdr:row>34</xdr:row>
      <xdr:rowOff>40105</xdr:rowOff>
    </xdr:to>
    <xdr:graphicFrame macro="">
      <xdr:nvGraphicFramePr>
        <xdr:cNvPr id="27" name="Chart 26">
          <a:extLst>
            <a:ext uri="{FF2B5EF4-FFF2-40B4-BE49-F238E27FC236}">
              <a16:creationId xmlns:a16="http://schemas.microsoft.com/office/drawing/2014/main" id="{359CB1ED-C16C-418B-8203-B2A1EFD43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279400</xdr:colOff>
      <xdr:row>21</xdr:row>
      <xdr:rowOff>40532</xdr:rowOff>
    </xdr:from>
    <xdr:to>
      <xdr:col>21</xdr:col>
      <xdr:colOff>121596</xdr:colOff>
      <xdr:row>22</xdr:row>
      <xdr:rowOff>148616</xdr:rowOff>
    </xdr:to>
    <xdr:sp macro="" textlink="">
      <xdr:nvSpPr>
        <xdr:cNvPr id="28" name="TextBox 27">
          <a:extLst>
            <a:ext uri="{FF2B5EF4-FFF2-40B4-BE49-F238E27FC236}">
              <a16:creationId xmlns:a16="http://schemas.microsoft.com/office/drawing/2014/main" id="{D0B4361F-A89E-4A22-9B78-1157CC111994}"/>
            </a:ext>
          </a:extLst>
        </xdr:cNvPr>
        <xdr:cNvSpPr txBox="1"/>
      </xdr:nvSpPr>
      <xdr:spPr>
        <a:xfrm>
          <a:off x="8791102" y="3445213"/>
          <a:ext cx="4098047" cy="270212"/>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baseline="0">
              <a:latin typeface="Times New Roman" panose="02020603050405020304" pitchFamily="18" charset="0"/>
              <a:cs typeface="Times New Roman" panose="02020603050405020304" pitchFamily="18" charset="0"/>
            </a:rPr>
            <a:t>CHRONIC CONDITION PREVALANCE AMONG EMPLOEYES</a:t>
          </a:r>
          <a:endParaRPr lang="en-US" sz="1100" b="0">
            <a:latin typeface="Times New Roman" panose="02020603050405020304" pitchFamily="18" charset="0"/>
            <a:cs typeface="Times New Roman" panose="02020603050405020304" pitchFamily="18" charset="0"/>
          </a:endParaRPr>
        </a:p>
      </xdr:txBody>
    </xdr:sp>
    <xdr:clientData/>
  </xdr:twoCellAnchor>
  <xdr:twoCellAnchor>
    <xdr:from>
      <xdr:col>8</xdr:col>
      <xdr:colOff>209415</xdr:colOff>
      <xdr:row>22</xdr:row>
      <xdr:rowOff>114840</xdr:rowOff>
    </xdr:from>
    <xdr:to>
      <xdr:col>14</xdr:col>
      <xdr:colOff>251355</xdr:colOff>
      <xdr:row>34</xdr:row>
      <xdr:rowOff>60158</xdr:rowOff>
    </xdr:to>
    <xdr:graphicFrame macro="">
      <xdr:nvGraphicFramePr>
        <xdr:cNvPr id="29" name="Chart 28">
          <a:extLst>
            <a:ext uri="{FF2B5EF4-FFF2-40B4-BE49-F238E27FC236}">
              <a16:creationId xmlns:a16="http://schemas.microsoft.com/office/drawing/2014/main" id="{096FEF4E-EED8-4758-80A2-3082598D5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205052</xdr:colOff>
      <xdr:row>21</xdr:row>
      <xdr:rowOff>46302</xdr:rowOff>
    </xdr:from>
    <xdr:to>
      <xdr:col>14</xdr:col>
      <xdr:colOff>256701</xdr:colOff>
      <xdr:row>22</xdr:row>
      <xdr:rowOff>158750</xdr:rowOff>
    </xdr:to>
    <xdr:sp macro="" textlink="">
      <xdr:nvSpPr>
        <xdr:cNvPr id="30" name="TextBox 29">
          <a:extLst>
            <a:ext uri="{FF2B5EF4-FFF2-40B4-BE49-F238E27FC236}">
              <a16:creationId xmlns:a16="http://schemas.microsoft.com/office/drawing/2014/main" id="{81C658A0-26E0-40DF-A04B-A2C94D76109F}"/>
            </a:ext>
          </a:extLst>
        </xdr:cNvPr>
        <xdr:cNvSpPr txBox="1"/>
      </xdr:nvSpPr>
      <xdr:spPr>
        <a:xfrm>
          <a:off x="5073385" y="3518958"/>
          <a:ext cx="3702899" cy="277813"/>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baseline="0">
              <a:latin typeface="Times New Roman" panose="02020603050405020304" pitchFamily="18" charset="0"/>
              <a:cs typeface="Times New Roman" panose="02020603050405020304" pitchFamily="18" charset="0"/>
            </a:rPr>
            <a:t>COMPANY"S WIDE VACCINATION RATE</a:t>
          </a:r>
          <a:endParaRPr lang="en-US" sz="1100" b="0">
            <a:latin typeface="Times New Roman" panose="02020603050405020304" pitchFamily="18" charset="0"/>
            <a:cs typeface="Times New Roman" panose="02020603050405020304" pitchFamily="18" charset="0"/>
          </a:endParaRPr>
        </a:p>
      </xdr:txBody>
    </xdr:sp>
    <xdr:clientData/>
  </xdr:twoCellAnchor>
  <xdr:twoCellAnchor>
    <xdr:from>
      <xdr:col>2</xdr:col>
      <xdr:colOff>137474</xdr:colOff>
      <xdr:row>22</xdr:row>
      <xdr:rowOff>101328</xdr:rowOff>
    </xdr:from>
    <xdr:to>
      <xdr:col>8</xdr:col>
      <xdr:colOff>165365</xdr:colOff>
      <xdr:row>34</xdr:row>
      <xdr:rowOff>46302</xdr:rowOff>
    </xdr:to>
    <xdr:graphicFrame macro="">
      <xdr:nvGraphicFramePr>
        <xdr:cNvPr id="31" name="Chart 30">
          <a:extLst>
            <a:ext uri="{FF2B5EF4-FFF2-40B4-BE49-F238E27FC236}">
              <a16:creationId xmlns:a16="http://schemas.microsoft.com/office/drawing/2014/main" id="{69B17557-C8B6-4203-85DB-7EECCEA85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138888</xdr:colOff>
      <xdr:row>21</xdr:row>
      <xdr:rowOff>3782</xdr:rowOff>
    </xdr:from>
    <xdr:to>
      <xdr:col>8</xdr:col>
      <xdr:colOff>175638</xdr:colOff>
      <xdr:row>22</xdr:row>
      <xdr:rowOff>114839</xdr:rowOff>
    </xdr:to>
    <xdr:sp macro="" textlink="">
      <xdr:nvSpPr>
        <xdr:cNvPr id="32" name="TextBox 31">
          <a:extLst>
            <a:ext uri="{FF2B5EF4-FFF2-40B4-BE49-F238E27FC236}">
              <a16:creationId xmlns:a16="http://schemas.microsoft.com/office/drawing/2014/main" id="{FC625ACF-2A4D-4BE4-865D-EFA85F6BD343}"/>
            </a:ext>
          </a:extLst>
        </xdr:cNvPr>
        <xdr:cNvSpPr txBox="1"/>
      </xdr:nvSpPr>
      <xdr:spPr>
        <a:xfrm>
          <a:off x="1354845" y="3408463"/>
          <a:ext cx="3684623" cy="273185"/>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baseline="0">
              <a:latin typeface="Times New Roman" panose="02020603050405020304" pitchFamily="18" charset="0"/>
              <a:cs typeface="Times New Roman" panose="02020603050405020304" pitchFamily="18" charset="0"/>
            </a:rPr>
            <a:t> HEALTH RISK SCORE BY DEPARTMENT</a:t>
          </a:r>
          <a:endParaRPr lang="en-US" sz="1100" b="0">
            <a:latin typeface="Times New Roman" panose="02020603050405020304" pitchFamily="18" charset="0"/>
            <a:cs typeface="Times New Roman" panose="02020603050405020304" pitchFamily="18" charset="0"/>
          </a:endParaRPr>
        </a:p>
      </xdr:txBody>
    </xdr:sp>
    <xdr:clientData/>
  </xdr:twoCellAnchor>
  <xdr:twoCellAnchor>
    <xdr:from>
      <xdr:col>0</xdr:col>
      <xdr:colOff>150567</xdr:colOff>
      <xdr:row>1</xdr:row>
      <xdr:rowOff>50800</xdr:rowOff>
    </xdr:from>
    <xdr:to>
      <xdr:col>2</xdr:col>
      <xdr:colOff>105833</xdr:colOff>
      <xdr:row>3</xdr:row>
      <xdr:rowOff>141111</xdr:rowOff>
    </xdr:to>
    <xdr:sp macro="" textlink="">
      <xdr:nvSpPr>
        <xdr:cNvPr id="3" name="TextBox 2">
          <a:extLst>
            <a:ext uri="{FF2B5EF4-FFF2-40B4-BE49-F238E27FC236}">
              <a16:creationId xmlns:a16="http://schemas.microsoft.com/office/drawing/2014/main" id="{FEEF7008-2255-46ED-88FC-35414B57799F}"/>
            </a:ext>
          </a:extLst>
        </xdr:cNvPr>
        <xdr:cNvSpPr txBox="1"/>
      </xdr:nvSpPr>
      <xdr:spPr>
        <a:xfrm>
          <a:off x="150567" y="215430"/>
          <a:ext cx="1178229" cy="419570"/>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atin typeface="Times New Roman" panose="02020603050405020304" pitchFamily="18" charset="0"/>
              <a:cs typeface="Times New Roman" panose="02020603050405020304" pitchFamily="18" charset="0"/>
            </a:rPr>
            <a:t>FILTER</a:t>
          </a:r>
          <a:r>
            <a:rPr lang="en-US" sz="1100" b="0" baseline="0">
              <a:latin typeface="Times New Roman" panose="02020603050405020304" pitchFamily="18" charset="0"/>
              <a:cs typeface="Times New Roman" panose="02020603050405020304" pitchFamily="18" charset="0"/>
            </a:rPr>
            <a:t> PANEL</a:t>
          </a:r>
          <a:endParaRPr lang="en-US" sz="1100" b="0">
            <a:latin typeface="Times New Roman" panose="02020603050405020304" pitchFamily="18" charset="0"/>
            <a:cs typeface="Times New Roman" panose="02020603050405020304" pitchFamily="18" charset="0"/>
          </a:endParaRPr>
        </a:p>
      </xdr:txBody>
    </xdr:sp>
    <xdr:clientData/>
  </xdr:twoCellAnchor>
  <xdr:twoCellAnchor>
    <xdr:from>
      <xdr:col>0</xdr:col>
      <xdr:colOff>126214</xdr:colOff>
      <xdr:row>4</xdr:row>
      <xdr:rowOff>76201</xdr:rowOff>
    </xdr:from>
    <xdr:to>
      <xdr:col>2</xdr:col>
      <xdr:colOff>93482</xdr:colOff>
      <xdr:row>5</xdr:row>
      <xdr:rowOff>81560</xdr:rowOff>
    </xdr:to>
    <xdr:sp macro="" textlink="">
      <xdr:nvSpPr>
        <xdr:cNvPr id="34" name="TextBox 33">
          <a:extLst>
            <a:ext uri="{FF2B5EF4-FFF2-40B4-BE49-F238E27FC236}">
              <a16:creationId xmlns:a16="http://schemas.microsoft.com/office/drawing/2014/main" id="{E6A0D594-F33A-434E-B6D6-6A88DA4DBEB0}"/>
            </a:ext>
          </a:extLst>
        </xdr:cNvPr>
        <xdr:cNvSpPr txBox="1"/>
      </xdr:nvSpPr>
      <xdr:spPr>
        <a:xfrm>
          <a:off x="126214" y="728678"/>
          <a:ext cx="1190662" cy="168478"/>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baseline="0">
              <a:latin typeface="Times New Roman" panose="02020603050405020304" pitchFamily="18" charset="0"/>
              <a:cs typeface="Times New Roman" panose="02020603050405020304" pitchFamily="18" charset="0"/>
            </a:rPr>
            <a:t>STATE</a:t>
          </a:r>
          <a:endParaRPr lang="en-US" sz="1100" b="0">
            <a:latin typeface="Times New Roman" panose="02020603050405020304" pitchFamily="18" charset="0"/>
            <a:cs typeface="Times New Roman" panose="02020603050405020304" pitchFamily="18" charset="0"/>
          </a:endParaRPr>
        </a:p>
      </xdr:txBody>
    </xdr:sp>
    <xdr:clientData/>
  </xdr:twoCellAnchor>
  <xdr:twoCellAnchor>
    <xdr:from>
      <xdr:col>0</xdr:col>
      <xdr:colOff>180419</xdr:colOff>
      <xdr:row>21</xdr:row>
      <xdr:rowOff>34953</xdr:rowOff>
    </xdr:from>
    <xdr:to>
      <xdr:col>2</xdr:col>
      <xdr:colOff>78558</xdr:colOff>
      <xdr:row>22</xdr:row>
      <xdr:rowOff>104861</xdr:rowOff>
    </xdr:to>
    <xdr:sp macro="" textlink="">
      <xdr:nvSpPr>
        <xdr:cNvPr id="36" name="TextBox 35">
          <a:extLst>
            <a:ext uri="{FF2B5EF4-FFF2-40B4-BE49-F238E27FC236}">
              <a16:creationId xmlns:a16="http://schemas.microsoft.com/office/drawing/2014/main" id="{D76D9E0A-9213-4CB4-B6F5-083EE1FF302E}"/>
            </a:ext>
          </a:extLst>
        </xdr:cNvPr>
        <xdr:cNvSpPr txBox="1"/>
      </xdr:nvSpPr>
      <xdr:spPr>
        <a:xfrm>
          <a:off x="180419" y="3460458"/>
          <a:ext cx="1121533" cy="233027"/>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atin typeface="Times New Roman" panose="02020603050405020304" pitchFamily="18" charset="0"/>
              <a:cs typeface="Times New Roman" panose="02020603050405020304" pitchFamily="18" charset="0"/>
            </a:rPr>
            <a:t>AGE</a:t>
          </a:r>
          <a:r>
            <a:rPr lang="en-US" sz="1100" b="0" baseline="0">
              <a:latin typeface="Times New Roman" panose="02020603050405020304" pitchFamily="18" charset="0"/>
              <a:cs typeface="Times New Roman" panose="02020603050405020304" pitchFamily="18" charset="0"/>
            </a:rPr>
            <a:t> GROUP</a:t>
          </a:r>
          <a:endParaRPr lang="en-US" sz="1100" b="0">
            <a:latin typeface="Times New Roman" panose="02020603050405020304" pitchFamily="18" charset="0"/>
            <a:cs typeface="Times New Roman" panose="02020603050405020304" pitchFamily="18" charset="0"/>
          </a:endParaRPr>
        </a:p>
      </xdr:txBody>
    </xdr:sp>
    <xdr:clientData/>
  </xdr:twoCellAnchor>
  <xdr:twoCellAnchor>
    <xdr:from>
      <xdr:col>0</xdr:col>
      <xdr:colOff>193119</xdr:colOff>
      <xdr:row>29</xdr:row>
      <xdr:rowOff>110688</xdr:rowOff>
    </xdr:from>
    <xdr:to>
      <xdr:col>2</xdr:col>
      <xdr:colOff>91258</xdr:colOff>
      <xdr:row>31</xdr:row>
      <xdr:rowOff>151468</xdr:rowOff>
    </xdr:to>
    <xdr:sp macro="" textlink="">
      <xdr:nvSpPr>
        <xdr:cNvPr id="39" name="TextBox 38">
          <a:extLst>
            <a:ext uri="{FF2B5EF4-FFF2-40B4-BE49-F238E27FC236}">
              <a16:creationId xmlns:a16="http://schemas.microsoft.com/office/drawing/2014/main" id="{3C300CC5-4F66-4FC1-B199-A7E48E2CB9CA}"/>
            </a:ext>
          </a:extLst>
        </xdr:cNvPr>
        <xdr:cNvSpPr txBox="1"/>
      </xdr:nvSpPr>
      <xdr:spPr>
        <a:xfrm>
          <a:off x="193119" y="4841147"/>
          <a:ext cx="1121533" cy="367018"/>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atin typeface="Times New Roman" panose="02020603050405020304" pitchFamily="18" charset="0"/>
              <a:cs typeface="Times New Roman" panose="02020603050405020304" pitchFamily="18" charset="0"/>
            </a:rPr>
            <a:t>GENDER</a:t>
          </a:r>
        </a:p>
      </xdr:txBody>
    </xdr:sp>
    <xdr:clientData/>
  </xdr:twoCellAnchor>
  <xdr:twoCellAnchor editAs="oneCell">
    <xdr:from>
      <xdr:col>0</xdr:col>
      <xdr:colOff>114300</xdr:colOff>
      <xdr:row>22</xdr:row>
      <xdr:rowOff>104861</xdr:rowOff>
    </xdr:from>
    <xdr:to>
      <xdr:col>2</xdr:col>
      <xdr:colOff>88900</xdr:colOff>
      <xdr:row>30</xdr:row>
      <xdr:rowOff>46604</xdr:rowOff>
    </xdr:to>
    <mc:AlternateContent xmlns:mc="http://schemas.openxmlformats.org/markup-compatibility/2006" xmlns:a14="http://schemas.microsoft.com/office/drawing/2010/main">
      <mc:Choice Requires="a14">
        <xdr:graphicFrame macro="">
          <xdr:nvGraphicFramePr>
            <xdr:cNvPr id="41" name="Age group">
              <a:extLst>
                <a:ext uri="{FF2B5EF4-FFF2-40B4-BE49-F238E27FC236}">
                  <a16:creationId xmlns:a16="http://schemas.microsoft.com/office/drawing/2014/main" id="{05483A5A-3AA8-434D-80ED-8D048749D6DA}"/>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14300" y="3678582"/>
              <a:ext cx="1185530" cy="1241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151468</xdr:colOff>
      <xdr:row>31</xdr:row>
      <xdr:rowOff>93211</xdr:rowOff>
    </xdr:from>
    <xdr:to>
      <xdr:col>2</xdr:col>
      <xdr:colOff>88900</xdr:colOff>
      <xdr:row>35</xdr:row>
      <xdr:rowOff>110687</xdr:rowOff>
    </xdr:to>
    <mc:AlternateContent xmlns:mc="http://schemas.openxmlformats.org/markup-compatibility/2006" xmlns:a14="http://schemas.microsoft.com/office/drawing/2010/main">
      <mc:Choice Requires="a14">
        <xdr:graphicFrame macro="">
          <xdr:nvGraphicFramePr>
            <xdr:cNvPr id="42" name="Gender 1">
              <a:extLst>
                <a:ext uri="{FF2B5EF4-FFF2-40B4-BE49-F238E27FC236}">
                  <a16:creationId xmlns:a16="http://schemas.microsoft.com/office/drawing/2014/main" id="{7D49373F-FF77-4DA2-85E3-6D236927714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1468" y="5128909"/>
              <a:ext cx="1148362" cy="6672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292100</xdr:colOff>
      <xdr:row>0</xdr:row>
      <xdr:rowOff>139700</xdr:rowOff>
    </xdr:from>
    <xdr:to>
      <xdr:col>21</xdr:col>
      <xdr:colOff>50800</xdr:colOff>
      <xdr:row>7</xdr:row>
      <xdr:rowOff>88900</xdr:rowOff>
    </xdr:to>
    <xdr:sp macro="" textlink="">
      <xdr:nvSpPr>
        <xdr:cNvPr id="4" name="Rectangle 3">
          <a:extLst>
            <a:ext uri="{FF2B5EF4-FFF2-40B4-BE49-F238E27FC236}">
              <a16:creationId xmlns:a16="http://schemas.microsoft.com/office/drawing/2014/main" id="{1BE8B621-A791-4AB3-8B31-204DF8A82115}"/>
            </a:ext>
          </a:extLst>
        </xdr:cNvPr>
        <xdr:cNvSpPr/>
      </xdr:nvSpPr>
      <xdr:spPr>
        <a:xfrm>
          <a:off x="11264900" y="139700"/>
          <a:ext cx="1587500" cy="1104900"/>
        </a:xfrm>
        <a:prstGeom prst="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165100</xdr:colOff>
      <xdr:row>0</xdr:row>
      <xdr:rowOff>152400</xdr:rowOff>
    </xdr:from>
    <xdr:to>
      <xdr:col>13</xdr:col>
      <xdr:colOff>101600</xdr:colOff>
      <xdr:row>7</xdr:row>
      <xdr:rowOff>101600</xdr:rowOff>
    </xdr:to>
    <xdr:sp macro="" textlink="">
      <xdr:nvSpPr>
        <xdr:cNvPr id="43" name="Rectangle 42">
          <a:extLst>
            <a:ext uri="{FF2B5EF4-FFF2-40B4-BE49-F238E27FC236}">
              <a16:creationId xmlns:a16="http://schemas.microsoft.com/office/drawing/2014/main" id="{7926C3AE-8A06-4995-BF60-A81D21E91DBC}"/>
            </a:ext>
          </a:extLst>
        </xdr:cNvPr>
        <xdr:cNvSpPr/>
      </xdr:nvSpPr>
      <xdr:spPr>
        <a:xfrm>
          <a:off x="6261100" y="152400"/>
          <a:ext cx="1765300" cy="1104900"/>
        </a:xfrm>
        <a:prstGeom prst="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127000</xdr:colOff>
      <xdr:row>0</xdr:row>
      <xdr:rowOff>139700</xdr:rowOff>
    </xdr:from>
    <xdr:to>
      <xdr:col>15</xdr:col>
      <xdr:colOff>482600</xdr:colOff>
      <xdr:row>7</xdr:row>
      <xdr:rowOff>101600</xdr:rowOff>
    </xdr:to>
    <xdr:sp macro="" textlink="">
      <xdr:nvSpPr>
        <xdr:cNvPr id="44" name="Rectangle 43">
          <a:extLst>
            <a:ext uri="{FF2B5EF4-FFF2-40B4-BE49-F238E27FC236}">
              <a16:creationId xmlns:a16="http://schemas.microsoft.com/office/drawing/2014/main" id="{3E3EE2AD-BD8A-4E0B-B236-C0EC805B405A}"/>
            </a:ext>
          </a:extLst>
        </xdr:cNvPr>
        <xdr:cNvSpPr/>
      </xdr:nvSpPr>
      <xdr:spPr>
        <a:xfrm>
          <a:off x="8051800" y="139700"/>
          <a:ext cx="1574800" cy="1117600"/>
        </a:xfrm>
        <a:prstGeom prst="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508000</xdr:colOff>
      <xdr:row>0</xdr:row>
      <xdr:rowOff>139700</xdr:rowOff>
    </xdr:from>
    <xdr:to>
      <xdr:col>18</xdr:col>
      <xdr:colOff>254000</xdr:colOff>
      <xdr:row>7</xdr:row>
      <xdr:rowOff>101600</xdr:rowOff>
    </xdr:to>
    <xdr:sp macro="" textlink="">
      <xdr:nvSpPr>
        <xdr:cNvPr id="45" name="Rectangle 44">
          <a:extLst>
            <a:ext uri="{FF2B5EF4-FFF2-40B4-BE49-F238E27FC236}">
              <a16:creationId xmlns:a16="http://schemas.microsoft.com/office/drawing/2014/main" id="{62DA4AFC-FC24-474B-9E6E-5DE18DDAB7C4}"/>
            </a:ext>
          </a:extLst>
        </xdr:cNvPr>
        <xdr:cNvSpPr/>
      </xdr:nvSpPr>
      <xdr:spPr>
        <a:xfrm>
          <a:off x="9652000" y="139700"/>
          <a:ext cx="1574800" cy="1117600"/>
        </a:xfrm>
        <a:prstGeom prst="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330200</xdr:colOff>
      <xdr:row>1</xdr:row>
      <xdr:rowOff>0</xdr:rowOff>
    </xdr:from>
    <xdr:to>
      <xdr:col>21</xdr:col>
      <xdr:colOff>33073</xdr:colOff>
      <xdr:row>7</xdr:row>
      <xdr:rowOff>38100</xdr:rowOff>
    </xdr:to>
    <xdr:sp macro="" textlink="'PIVOT TABLE'!CH5">
      <xdr:nvSpPr>
        <xdr:cNvPr id="46" name="Rectangle 45">
          <a:extLst>
            <a:ext uri="{FF2B5EF4-FFF2-40B4-BE49-F238E27FC236}">
              <a16:creationId xmlns:a16="http://schemas.microsoft.com/office/drawing/2014/main" id="{A79F5FBF-8616-40E7-B986-4CB8F05638FC}"/>
            </a:ext>
          </a:extLst>
        </xdr:cNvPr>
        <xdr:cNvSpPr/>
      </xdr:nvSpPr>
      <xdr:spPr>
        <a:xfrm>
          <a:off x="11283950" y="165365"/>
          <a:ext cx="1528498" cy="103028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09FC80BE-3E2B-4EF1-8781-2929B45EF364}"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pPr algn="r"/>
            <a:t>300</a:t>
          </a:fld>
          <a:endParaRPr lang="en-US" sz="2800" b="1">
            <a:latin typeface="Times New Roman" panose="02020603050405020304" pitchFamily="18" charset="0"/>
            <a:cs typeface="Times New Roman" panose="02020603050405020304" pitchFamily="18" charset="0"/>
          </a:endParaRPr>
        </a:p>
      </xdr:txBody>
    </xdr:sp>
    <xdr:clientData/>
  </xdr:twoCellAnchor>
  <xdr:twoCellAnchor>
    <xdr:from>
      <xdr:col>15</xdr:col>
      <xdr:colOff>546100</xdr:colOff>
      <xdr:row>1</xdr:row>
      <xdr:rowOff>12700</xdr:rowOff>
    </xdr:from>
    <xdr:to>
      <xdr:col>18</xdr:col>
      <xdr:colOff>224896</xdr:colOff>
      <xdr:row>7</xdr:row>
      <xdr:rowOff>63500</xdr:rowOff>
    </xdr:to>
    <xdr:sp macro="" textlink="'PIVOT TABLE'!CH17">
      <xdr:nvSpPr>
        <xdr:cNvPr id="47" name="Rectangle 46">
          <a:extLst>
            <a:ext uri="{FF2B5EF4-FFF2-40B4-BE49-F238E27FC236}">
              <a16:creationId xmlns:a16="http://schemas.microsoft.com/office/drawing/2014/main" id="{80B1FE25-F3AA-4DD7-BE8D-567B4774DA48}"/>
            </a:ext>
          </a:extLst>
        </xdr:cNvPr>
        <xdr:cNvSpPr/>
      </xdr:nvSpPr>
      <xdr:spPr>
        <a:xfrm>
          <a:off x="9674225" y="178065"/>
          <a:ext cx="1504421" cy="104298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0F9C656C-0FDC-4BEE-945B-B557007ECD4C}" type="TxLink">
            <a:rPr lang="en-US" sz="2400" b="1" i="0" u="none" strike="noStrike">
              <a:solidFill>
                <a:srgbClr val="000000"/>
              </a:solidFill>
              <a:latin typeface="Times New Roman" panose="02020603050405020304" pitchFamily="18" charset="0"/>
              <a:ea typeface="Calibri"/>
              <a:cs typeface="Times New Roman" panose="02020603050405020304" pitchFamily="18" charset="0"/>
            </a:rPr>
            <a:pPr algn="r"/>
            <a:t>26%</a:t>
          </a:fld>
          <a:endParaRPr lang="en-US" sz="2400" b="1">
            <a:latin typeface="Times New Roman" panose="02020603050405020304" pitchFamily="18" charset="0"/>
            <a:cs typeface="Times New Roman" panose="02020603050405020304" pitchFamily="18" charset="0"/>
          </a:endParaRPr>
        </a:p>
      </xdr:txBody>
    </xdr:sp>
    <xdr:clientData/>
  </xdr:twoCellAnchor>
  <xdr:twoCellAnchor>
    <xdr:from>
      <xdr:col>13</xdr:col>
      <xdr:colOff>165364</xdr:colOff>
      <xdr:row>1</xdr:row>
      <xdr:rowOff>0</xdr:rowOff>
    </xdr:from>
    <xdr:to>
      <xdr:col>15</xdr:col>
      <xdr:colOff>457200</xdr:colOff>
      <xdr:row>7</xdr:row>
      <xdr:rowOff>50801</xdr:rowOff>
    </xdr:to>
    <xdr:sp macro="" textlink="'PIVOT TABLE'!CH26">
      <xdr:nvSpPr>
        <xdr:cNvPr id="48" name="Rectangle 47">
          <a:extLst>
            <a:ext uri="{FF2B5EF4-FFF2-40B4-BE49-F238E27FC236}">
              <a16:creationId xmlns:a16="http://schemas.microsoft.com/office/drawing/2014/main" id="{F759935D-B938-4371-92E3-B43B2B439148}"/>
            </a:ext>
          </a:extLst>
        </xdr:cNvPr>
        <xdr:cNvSpPr/>
      </xdr:nvSpPr>
      <xdr:spPr>
        <a:xfrm>
          <a:off x="8076406" y="165365"/>
          <a:ext cx="1508919" cy="104298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81A0C832-85F8-46D6-95A9-02A21529B4D6}" type="TxLink">
            <a:rPr lang="en-US" sz="2400" b="1" i="0" u="none" strike="noStrike">
              <a:solidFill>
                <a:srgbClr val="000000"/>
              </a:solidFill>
              <a:latin typeface="Times New Roman" panose="02020603050405020304" pitchFamily="18" charset="0"/>
              <a:ea typeface="Calibri"/>
              <a:cs typeface="Times New Roman" panose="02020603050405020304" pitchFamily="18" charset="0"/>
            </a:rPr>
            <a:pPr algn="r"/>
            <a:t>24%</a:t>
          </a:fld>
          <a:endParaRPr lang="en-US" sz="2400" b="1">
            <a:latin typeface="Times New Roman" panose="02020603050405020304" pitchFamily="18" charset="0"/>
            <a:cs typeface="Times New Roman" panose="02020603050405020304" pitchFamily="18" charset="0"/>
          </a:endParaRPr>
        </a:p>
      </xdr:txBody>
    </xdr:sp>
    <xdr:clientData/>
  </xdr:twoCellAnchor>
  <xdr:twoCellAnchor>
    <xdr:from>
      <xdr:col>10</xdr:col>
      <xdr:colOff>216430</xdr:colOff>
      <xdr:row>1</xdr:row>
      <xdr:rowOff>6614</xdr:rowOff>
    </xdr:from>
    <xdr:to>
      <xdr:col>13</xdr:col>
      <xdr:colOff>76730</xdr:colOff>
      <xdr:row>7</xdr:row>
      <xdr:rowOff>63500</xdr:rowOff>
    </xdr:to>
    <xdr:sp macro="" textlink="'PIVOT TABLE'!BQ13">
      <xdr:nvSpPr>
        <xdr:cNvPr id="49" name="Rectangle 48">
          <a:extLst>
            <a:ext uri="{FF2B5EF4-FFF2-40B4-BE49-F238E27FC236}">
              <a16:creationId xmlns:a16="http://schemas.microsoft.com/office/drawing/2014/main" id="{39E399E2-43C1-4B6F-A877-B97626A76DD9}"/>
            </a:ext>
          </a:extLst>
        </xdr:cNvPr>
        <xdr:cNvSpPr/>
      </xdr:nvSpPr>
      <xdr:spPr>
        <a:xfrm>
          <a:off x="6301847" y="171979"/>
          <a:ext cx="1685925" cy="10490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663CF4E8-9E55-45DE-A5B4-FA5F42C539D7}" type="TxLink">
            <a:rPr lang="en-US" sz="2200" b="1" i="0" u="none" strike="noStrike">
              <a:solidFill>
                <a:srgbClr val="000000"/>
              </a:solidFill>
              <a:latin typeface="Times New Roman" panose="02020603050405020304" pitchFamily="18" charset="0"/>
              <a:ea typeface="Calibri"/>
              <a:cs typeface="Times New Roman" panose="02020603050405020304" pitchFamily="18" charset="0"/>
            </a:rPr>
            <a:pPr algn="r"/>
            <a:t>Rivers</a:t>
          </a:fld>
          <a:endParaRPr lang="en-US" sz="2200" b="1">
            <a:latin typeface="Times New Roman" panose="02020603050405020304" pitchFamily="18" charset="0"/>
            <a:cs typeface="Times New Roman" panose="02020603050405020304" pitchFamily="18" charset="0"/>
          </a:endParaRPr>
        </a:p>
      </xdr:txBody>
    </xdr:sp>
    <xdr:clientData/>
  </xdr:twoCellAnchor>
  <xdr:twoCellAnchor>
    <xdr:from>
      <xdr:col>18</xdr:col>
      <xdr:colOff>381000</xdr:colOff>
      <xdr:row>1</xdr:row>
      <xdr:rowOff>38100</xdr:rowOff>
    </xdr:from>
    <xdr:to>
      <xdr:col>20</xdr:col>
      <xdr:colOff>558800</xdr:colOff>
      <xdr:row>4</xdr:row>
      <xdr:rowOff>101600</xdr:rowOff>
    </xdr:to>
    <xdr:sp macro="" textlink="">
      <xdr:nvSpPr>
        <xdr:cNvPr id="5" name="TextBox 4">
          <a:extLst>
            <a:ext uri="{FF2B5EF4-FFF2-40B4-BE49-F238E27FC236}">
              <a16:creationId xmlns:a16="http://schemas.microsoft.com/office/drawing/2014/main" id="{386D4DD7-0FA7-40BC-B612-1873B7DDDA10}"/>
            </a:ext>
          </a:extLst>
        </xdr:cNvPr>
        <xdr:cNvSpPr txBox="1"/>
      </xdr:nvSpPr>
      <xdr:spPr>
        <a:xfrm>
          <a:off x="11353800" y="203200"/>
          <a:ext cx="13970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Times New Roman" panose="02020603050405020304" pitchFamily="18" charset="0"/>
              <a:cs typeface="Times New Roman" panose="02020603050405020304" pitchFamily="18" charset="0"/>
            </a:rPr>
            <a:t>TOTAL EMPLOYEES</a:t>
          </a:r>
        </a:p>
      </xdr:txBody>
    </xdr:sp>
    <xdr:clientData/>
  </xdr:twoCellAnchor>
  <xdr:twoCellAnchor>
    <xdr:from>
      <xdr:col>15</xdr:col>
      <xdr:colOff>566473</xdr:colOff>
      <xdr:row>1</xdr:row>
      <xdr:rowOff>6614</xdr:rowOff>
    </xdr:from>
    <xdr:to>
      <xdr:col>18</xdr:col>
      <xdr:colOff>135731</xdr:colOff>
      <xdr:row>5</xdr:row>
      <xdr:rowOff>80145</xdr:rowOff>
    </xdr:to>
    <xdr:sp macro="" textlink="">
      <xdr:nvSpPr>
        <xdr:cNvPr id="50" name="TextBox 49">
          <a:extLst>
            <a:ext uri="{FF2B5EF4-FFF2-40B4-BE49-F238E27FC236}">
              <a16:creationId xmlns:a16="http://schemas.microsoft.com/office/drawing/2014/main" id="{75BD5843-61A2-4EDF-863F-9E708256776B}"/>
            </a:ext>
          </a:extLst>
        </xdr:cNvPr>
        <xdr:cNvSpPr txBox="1"/>
      </xdr:nvSpPr>
      <xdr:spPr>
        <a:xfrm>
          <a:off x="9721570" y="173070"/>
          <a:ext cx="1400278" cy="73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Times New Roman" panose="02020603050405020304" pitchFamily="18" charset="0"/>
              <a:cs typeface="Times New Roman" panose="02020603050405020304" pitchFamily="18" charset="0"/>
            </a:rPr>
            <a:t>%</a:t>
          </a:r>
          <a:r>
            <a:rPr lang="en-US" sz="1400" b="1" baseline="0">
              <a:latin typeface="Times New Roman" panose="02020603050405020304" pitchFamily="18" charset="0"/>
              <a:cs typeface="Times New Roman" panose="02020603050405020304" pitchFamily="18" charset="0"/>
            </a:rPr>
            <a:t> OF HIGH RISK EMPLOYEES</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13</xdr:col>
      <xdr:colOff>129910</xdr:colOff>
      <xdr:row>1</xdr:row>
      <xdr:rowOff>6614</xdr:rowOff>
    </xdr:from>
    <xdr:to>
      <xdr:col>15</xdr:col>
      <xdr:colOff>307710</xdr:colOff>
      <xdr:row>5</xdr:row>
      <xdr:rowOff>158750</xdr:rowOff>
    </xdr:to>
    <xdr:sp macro="" textlink="">
      <xdr:nvSpPr>
        <xdr:cNvPr id="51" name="TextBox 50">
          <a:extLst>
            <a:ext uri="{FF2B5EF4-FFF2-40B4-BE49-F238E27FC236}">
              <a16:creationId xmlns:a16="http://schemas.microsoft.com/office/drawing/2014/main" id="{8A84BC87-D646-4655-81F2-6CB04D61B475}"/>
            </a:ext>
          </a:extLst>
        </xdr:cNvPr>
        <xdr:cNvSpPr txBox="1"/>
      </xdr:nvSpPr>
      <xdr:spPr>
        <a:xfrm>
          <a:off x="8029856" y="170485"/>
          <a:ext cx="1393177" cy="807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Times New Roman" panose="02020603050405020304" pitchFamily="18" charset="0"/>
              <a:cs typeface="Times New Roman" panose="02020603050405020304" pitchFamily="18" charset="0"/>
            </a:rPr>
            <a:t>%</a:t>
          </a:r>
          <a:r>
            <a:rPr lang="en-US" sz="1400" b="1" baseline="0">
              <a:latin typeface="Times New Roman" panose="02020603050405020304" pitchFamily="18" charset="0"/>
              <a:cs typeface="Times New Roman" panose="02020603050405020304" pitchFamily="18" charset="0"/>
            </a:rPr>
            <a:t> OF EMPLOYEES VACCINATED</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10</xdr:col>
      <xdr:colOff>348191</xdr:colOff>
      <xdr:row>1</xdr:row>
      <xdr:rowOff>39686</xdr:rowOff>
    </xdr:from>
    <xdr:to>
      <xdr:col>12</xdr:col>
      <xdr:colOff>525991</xdr:colOff>
      <xdr:row>5</xdr:row>
      <xdr:rowOff>92603</xdr:rowOff>
    </xdr:to>
    <xdr:sp macro="" textlink="">
      <xdr:nvSpPr>
        <xdr:cNvPr id="52" name="TextBox 51">
          <a:extLst>
            <a:ext uri="{FF2B5EF4-FFF2-40B4-BE49-F238E27FC236}">
              <a16:creationId xmlns:a16="http://schemas.microsoft.com/office/drawing/2014/main" id="{53A6FFC4-7819-4707-8AA3-311F0CE867A8}"/>
            </a:ext>
          </a:extLst>
        </xdr:cNvPr>
        <xdr:cNvSpPr txBox="1"/>
      </xdr:nvSpPr>
      <xdr:spPr>
        <a:xfrm>
          <a:off x="6433608" y="205051"/>
          <a:ext cx="1394883"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Times New Roman" panose="02020603050405020304" pitchFamily="18" charset="0"/>
              <a:cs typeface="Times New Roman" panose="02020603050405020304" pitchFamily="18" charset="0"/>
            </a:rPr>
            <a:t>HIGHEST</a:t>
          </a:r>
          <a:r>
            <a:rPr lang="en-US" sz="1400" b="1" baseline="0">
              <a:latin typeface="Times New Roman" panose="02020603050405020304" pitchFamily="18" charset="0"/>
              <a:cs typeface="Times New Roman" panose="02020603050405020304" pitchFamily="18" charset="0"/>
            </a:rPr>
            <a:t> BURDEN BY STATE</a:t>
          </a:r>
          <a:endParaRPr lang="en-US" sz="14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128164</xdr:colOff>
      <xdr:row>6</xdr:row>
      <xdr:rowOff>29128</xdr:rowOff>
    </xdr:from>
    <xdr:to>
      <xdr:col>2</xdr:col>
      <xdr:colOff>123901</xdr:colOff>
      <xdr:row>19</xdr:row>
      <xdr:rowOff>110688</xdr:rowOff>
    </xdr:to>
    <mc:AlternateContent xmlns:mc="http://schemas.openxmlformats.org/markup-compatibility/2006" xmlns:a14="http://schemas.microsoft.com/office/drawing/2010/main">
      <mc:Choice Requires="a14">
        <xdr:graphicFrame macro="">
          <xdr:nvGraphicFramePr>
            <xdr:cNvPr id="54" name="State">
              <a:extLst>
                <a:ext uri="{FF2B5EF4-FFF2-40B4-BE49-F238E27FC236}">
                  <a16:creationId xmlns:a16="http://schemas.microsoft.com/office/drawing/2014/main" id="{BFE1A5FF-062E-4098-BEE7-B6BF38D87FC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8164" y="1003779"/>
              <a:ext cx="1206667" cy="21933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142551</xdr:colOff>
      <xdr:row>0</xdr:row>
      <xdr:rowOff>103673</xdr:rowOff>
    </xdr:from>
    <xdr:to>
      <xdr:col>10</xdr:col>
      <xdr:colOff>103674</xdr:colOff>
      <xdr:row>7</xdr:row>
      <xdr:rowOff>116633</xdr:rowOff>
    </xdr:to>
    <xdr:sp macro="" textlink="">
      <xdr:nvSpPr>
        <xdr:cNvPr id="55" name="TextBox 54">
          <a:extLst>
            <a:ext uri="{FF2B5EF4-FFF2-40B4-BE49-F238E27FC236}">
              <a16:creationId xmlns:a16="http://schemas.microsoft.com/office/drawing/2014/main" id="{1263F874-4AB3-4844-88DD-5EA6DCCA7E1D}"/>
            </a:ext>
          </a:extLst>
        </xdr:cNvPr>
        <xdr:cNvSpPr txBox="1"/>
      </xdr:nvSpPr>
      <xdr:spPr>
        <a:xfrm>
          <a:off x="1360714" y="103673"/>
          <a:ext cx="4833776" cy="1192246"/>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Times New Roman" panose="02020603050405020304" pitchFamily="18" charset="0"/>
              <a:cs typeface="Times New Roman" panose="02020603050405020304" pitchFamily="18" charset="0"/>
            </a:rPr>
            <a:t>HEALTH FIRST NIGERIA- EMPLOYEE</a:t>
          </a:r>
          <a:r>
            <a:rPr lang="en-US" sz="2000" b="1" baseline="0">
              <a:latin typeface="Times New Roman" panose="02020603050405020304" pitchFamily="18" charset="0"/>
              <a:cs typeface="Times New Roman" panose="02020603050405020304" pitchFamily="18" charset="0"/>
            </a:rPr>
            <a:t> HEALTH ANALYTI C DASHBOARD</a:t>
          </a:r>
          <a:endParaRPr lang="en-US" sz="2000" b="1">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9.782755439817" createdVersion="7" refreshedVersion="7" minRefreshableVersion="3" recordCount="300" xr:uid="{650DFCDE-8983-4E8D-8885-F452CA24B933}">
  <cacheSource type="worksheet">
    <worksheetSource name="Table1_2"/>
  </cacheSource>
  <cacheFields count="30">
    <cacheField name="Employee_ID" numFmtId="0">
      <sharedItems count="300">
        <s v="EMP0001"/>
        <s v="EMP0002"/>
        <s v="EMP0003"/>
        <s v="EMP0004"/>
        <s v="EMP0005"/>
        <s v="EMP0006"/>
        <s v="EMP0007"/>
        <s v="EMP0008"/>
        <s v="EMP0009"/>
        <s v="EMP0010"/>
        <s v="EMP0011"/>
        <s v="EMP0012"/>
        <s v="EMP0013"/>
        <s v="EMP0014"/>
        <s v="EMP0015"/>
        <s v="EMP0016"/>
        <s v="EMP0017"/>
        <s v="EMP0018"/>
        <s v="EMP0019"/>
        <s v="EMP0020"/>
        <s v="EMP0021"/>
        <s v="EMP0022"/>
        <s v="EMP0023"/>
        <s v="EMP0024"/>
        <s v="EMP0025"/>
        <s v="EMP0026"/>
        <s v="EMP0027"/>
        <s v="EMP0028"/>
        <s v="EMP0029"/>
        <s v="EMP0030"/>
        <s v="EMP0031"/>
        <s v="EMP0032"/>
        <s v="EMP0033"/>
        <s v="EMP0034"/>
        <s v="EMP0035"/>
        <s v="EMP0036"/>
        <s v="EMP0037"/>
        <s v="EMP0038"/>
        <s v="EMP0039"/>
        <s v="EMP0040"/>
        <s v="EMP0041"/>
        <s v="EMP0042"/>
        <s v="EMP0043"/>
        <s v="EMP0044"/>
        <s v="EMP0045"/>
        <s v="EMP0046"/>
        <s v="EMP0047"/>
        <s v="EMP0048"/>
        <s v="EMP0049"/>
        <s v="EMP0050"/>
        <s v="EMP0051"/>
        <s v="EMP0052"/>
        <s v="EMP0053"/>
        <s v="EMP0054"/>
        <s v="EMP0055"/>
        <s v="EMP0056"/>
        <s v="EMP0057"/>
        <s v="EMP0058"/>
        <s v="EMP0059"/>
        <s v="EMP0060"/>
        <s v="EMP0061"/>
        <s v="EMP0062"/>
        <s v="EMP0063"/>
        <s v="EMP0064"/>
        <s v="EMP0065"/>
        <s v="EMP0066"/>
        <s v="EMP0067"/>
        <s v="EMP0068"/>
        <s v="EMP0069"/>
        <s v="EMP0070"/>
        <s v="EMP0071"/>
        <s v="EMP0072"/>
        <s v="EMP0073"/>
        <s v="EMP0074"/>
        <s v="EMP0075"/>
        <s v="EMP0076"/>
        <s v="EMP0077"/>
        <s v="EMP0078"/>
        <s v="EMP0079"/>
        <s v="EMP0080"/>
        <s v="EMP0081"/>
        <s v="EMP0082"/>
        <s v="EMP0083"/>
        <s v="EMP0084"/>
        <s v="EMP0085"/>
        <s v="EMP0086"/>
        <s v="EMP0087"/>
        <s v="EMP0088"/>
        <s v="EMP0089"/>
        <s v="EMP0090"/>
        <s v="EMP0091"/>
        <s v="EMP0092"/>
        <s v="EMP0093"/>
        <s v="EMP0094"/>
        <s v="EMP0095"/>
        <s v="EMP0096"/>
        <s v="EMP0097"/>
        <s v="EMP0098"/>
        <s v="EMP0099"/>
        <s v="EMP0100"/>
        <s v="EMP0101"/>
        <s v="EMP0102"/>
        <s v="EMP0103"/>
        <s v="EMP0104"/>
        <s v="EMP0105"/>
        <s v="EMP0106"/>
        <s v="EMP0107"/>
        <s v="EMP0108"/>
        <s v="EMP0109"/>
        <s v="EMP0110"/>
        <s v="EMP0111"/>
        <s v="EMP0112"/>
        <s v="EMP0113"/>
        <s v="EMP0114"/>
        <s v="EMP0115"/>
        <s v="EMP0116"/>
        <s v="EMP0117"/>
        <s v="EMP0118"/>
        <s v="EMP0119"/>
        <s v="EMP0120"/>
        <s v="EMP0121"/>
        <s v="EMP0122"/>
        <s v="EMP0123"/>
        <s v="EMP0124"/>
        <s v="EMP0125"/>
        <s v="EMP0126"/>
        <s v="EMP0127"/>
        <s v="EMP0128"/>
        <s v="EMP0129"/>
        <s v="EMP0130"/>
        <s v="EMP0131"/>
        <s v="EMP0132"/>
        <s v="EMP0133"/>
        <s v="EMP0134"/>
        <s v="EMP0135"/>
        <s v="EMP0136"/>
        <s v="EMP0137"/>
        <s v="EMP0138"/>
        <s v="EMP0139"/>
        <s v="EMP0140"/>
        <s v="EMP0141"/>
        <s v="EMP0142"/>
        <s v="EMP0143"/>
        <s v="EMP0144"/>
        <s v="EMP0145"/>
        <s v="EMP0146"/>
        <s v="EMP0147"/>
        <s v="EMP0148"/>
        <s v="EMP0149"/>
        <s v="EMP0150"/>
        <s v="EMP0151"/>
        <s v="EMP0152"/>
        <s v="EMP0153"/>
        <s v="EMP0154"/>
        <s v="EMP0155"/>
        <s v="EMP0156"/>
        <s v="EMP0157"/>
        <s v="EMP0158"/>
        <s v="EMP0159"/>
        <s v="EMP0160"/>
        <s v="EMP0161"/>
        <s v="EMP0162"/>
        <s v="EMP0163"/>
        <s v="EMP0164"/>
        <s v="EMP0165"/>
        <s v="EMP0166"/>
        <s v="EMP0167"/>
        <s v="EMP0168"/>
        <s v="EMP0169"/>
        <s v="EMP0170"/>
        <s v="EMP0171"/>
        <s v="EMP0172"/>
        <s v="EMP0173"/>
        <s v="EMP0174"/>
        <s v="EMP0175"/>
        <s v="EMP0176"/>
        <s v="EMP0177"/>
        <s v="EMP0178"/>
        <s v="EMP0179"/>
        <s v="EMP0180"/>
        <s v="EMP0181"/>
        <s v="EMP0182"/>
        <s v="EMP0183"/>
        <s v="EMP0184"/>
        <s v="EMP0185"/>
        <s v="EMP0186"/>
        <s v="EMP0187"/>
        <s v="EMP0188"/>
        <s v="EMP0189"/>
        <s v="EMP0190"/>
        <s v="EMP0191"/>
        <s v="EMP0192"/>
        <s v="EMP0193"/>
        <s v="EMP0194"/>
        <s v="EMP0195"/>
        <s v="EMP0196"/>
        <s v="EMP0197"/>
        <s v="EMP0198"/>
        <s v="EMP0199"/>
        <s v="EMP0200"/>
        <s v="EMP0201"/>
        <s v="EMP0202"/>
        <s v="EMP0203"/>
        <s v="EMP0204"/>
        <s v="EMP0205"/>
        <s v="EMP0206"/>
        <s v="EMP0207"/>
        <s v="EMP0208"/>
        <s v="EMP0209"/>
        <s v="EMP0210"/>
        <s v="EMP0211"/>
        <s v="EMP0212"/>
        <s v="EMP0213"/>
        <s v="EMP0214"/>
        <s v="EMP0215"/>
        <s v="EMP0216"/>
        <s v="EMP0217"/>
        <s v="EMP0218"/>
        <s v="EMP0219"/>
        <s v="EMP0220"/>
        <s v="EMP0221"/>
        <s v="EMP0222"/>
        <s v="EMP0223"/>
        <s v="EMP0224"/>
        <s v="EMP0225"/>
        <s v="EMP0226"/>
        <s v="EMP0227"/>
        <s v="EMP0228"/>
        <s v="EMP0229"/>
        <s v="EMP0230"/>
        <s v="EMP0231"/>
        <s v="EMP0232"/>
        <s v="EMP0233"/>
        <s v="EMP0234"/>
        <s v="EMP0235"/>
        <s v="EMP0236"/>
        <s v="EMP0237"/>
        <s v="EMP0238"/>
        <s v="EMP0239"/>
        <s v="EMP0240"/>
        <s v="EMP0241"/>
        <s v="EMP0242"/>
        <s v="EMP0243"/>
        <s v="EMP0244"/>
        <s v="EMP0245"/>
        <s v="EMP0246"/>
        <s v="EMP0247"/>
        <s v="EMP0248"/>
        <s v="EMP0249"/>
        <s v="EMP0250"/>
        <s v="EMP0251"/>
        <s v="EMP0252"/>
        <s v="EMP0253"/>
        <s v="EMP0254"/>
        <s v="EMP0255"/>
        <s v="EMP0256"/>
        <s v="EMP0257"/>
        <s v="EMP0258"/>
        <s v="EMP0259"/>
        <s v="EMP0260"/>
        <s v="EMP0261"/>
        <s v="EMP0262"/>
        <s v="EMP0263"/>
        <s v="EMP0264"/>
        <s v="EMP0265"/>
        <s v="EMP0266"/>
        <s v="EMP0267"/>
        <s v="EMP0268"/>
        <s v="EMP0269"/>
        <s v="EMP0270"/>
        <s v="EMP0271"/>
        <s v="EMP0272"/>
        <s v="EMP0273"/>
        <s v="EMP0274"/>
        <s v="EMP0275"/>
        <s v="EMP0276"/>
        <s v="EMP0277"/>
        <s v="EMP0278"/>
        <s v="EMP0279"/>
        <s v="EMP0280"/>
        <s v="EMP0281"/>
        <s v="EMP0282"/>
        <s v="EMP0283"/>
        <s v="EMP0284"/>
        <s v="EMP0285"/>
        <s v="EMP0286"/>
        <s v="EMP0287"/>
        <s v="EMP0288"/>
        <s v="EMP0289"/>
        <s v="EMP0290"/>
        <s v="EMP0291"/>
        <s v="EMP0292"/>
        <s v="EMP0293"/>
        <s v="EMP0294"/>
        <s v="EMP0295"/>
        <s v="EMP0296"/>
        <s v="EMP0297"/>
        <s v="EMP0298"/>
        <s v="EMP0299"/>
        <s v="EMP0300"/>
      </sharedItems>
    </cacheField>
    <cacheField name="Full Name" numFmtId="0">
      <sharedItems/>
    </cacheField>
    <cacheField name="Age" numFmtId="0">
      <sharedItems containsSemiMixedTypes="0" containsString="0" containsNumber="1" containsInteger="1" minValue="20" maxValue="62"/>
    </cacheField>
    <cacheField name="Gender" numFmtId="0">
      <sharedItems count="2">
        <s v="Female"/>
        <s v="Male"/>
      </sharedItems>
    </cacheField>
    <cacheField name="Department" numFmtId="0">
      <sharedItems count="7">
        <s v="Operations"/>
        <s v="IT"/>
        <s v="Finance"/>
        <s v="Legal"/>
        <s v="Sales"/>
        <s v="HR"/>
        <s v="Marketing"/>
      </sharedItems>
    </cacheField>
    <cacheField name="State" numFmtId="0">
      <sharedItems count="7">
        <s v="Rivers"/>
        <s v="Abuja"/>
        <s v="Lagos"/>
        <s v="Kano"/>
        <s v="Ogun"/>
        <s v="Delta"/>
        <s v="Oyo"/>
      </sharedItems>
    </cacheField>
    <cacheField name="BMI" numFmtId="0">
      <sharedItems containsSemiMixedTypes="0" containsString="0" containsNumber="1" minValue="17" maxValue="42"/>
    </cacheField>
    <cacheField name="Blood_Pressure_Systolic" numFmtId="0">
      <sharedItems containsSemiMixedTypes="0" containsString="0" containsNumber="1" containsInteger="1" minValue="100" maxValue="170"/>
    </cacheField>
    <cacheField name="Blood_Pressure_Diastolic" numFmtId="0">
      <sharedItems containsSemiMixedTypes="0" containsString="0" containsNumber="1" containsInteger="1" minValue="60" maxValue="105"/>
    </cacheField>
    <cacheField name="Cholesterol_Level" numFmtId="0">
      <sharedItems containsSemiMixedTypes="0" containsString="0" containsNumber="1" containsInteger="1" minValue="140" maxValue="280"/>
    </cacheField>
    <cacheField name="Blood_Glucose" numFmtId="0">
      <sharedItems containsSemiMixedTypes="0" containsString="0" containsNumber="1" containsInteger="1" minValue="70" maxValue="250"/>
    </cacheField>
    <cacheField name="Smoking_Status" numFmtId="0">
      <sharedItems count="4">
        <s v="Current smoker"/>
        <s v="Non-smoker"/>
        <s v="Former smoker"/>
        <s v="Unknown"/>
      </sharedItems>
    </cacheField>
    <cacheField name="Physical_Activity_Days_Per_Week" numFmtId="0">
      <sharedItems containsSemiMixedTypes="0" containsString="0" containsNumber="1" containsInteger="1" minValue="0" maxValue="7" count="8">
        <n v="1"/>
        <n v="6"/>
        <n v="3"/>
        <n v="0"/>
        <n v="5"/>
        <n v="7"/>
        <n v="2"/>
        <n v="4"/>
      </sharedItems>
    </cacheField>
    <cacheField name="Mental_Health_Score" numFmtId="0">
      <sharedItems containsSemiMixedTypes="0" containsString="0" containsNumber="1" containsInteger="1" minValue="0" maxValue="10" count="11">
        <n v="4"/>
        <n v="2"/>
        <n v="9"/>
        <n v="10"/>
        <n v="3"/>
        <n v="7"/>
        <n v="5"/>
        <n v="1"/>
        <n v="6"/>
        <n v="8"/>
        <n v="0"/>
      </sharedItems>
    </cacheField>
    <cacheField name="Health_Insurance" numFmtId="0">
      <sharedItems count="2">
        <s v="No"/>
        <s v="Yes"/>
      </sharedItems>
    </cacheField>
    <cacheField name="Last_Checkup_date" numFmtId="14">
      <sharedItems containsDate="1" containsMixedTypes="1" minDate="2021-01-03T00:00:00" maxDate="2024-12-29T00:00:00" count="268">
        <d v="2021-09-07T00:00:00"/>
        <d v="2023-10-09T00:00:00"/>
        <d v="2023-08-21T00:00:00"/>
        <d v="2023-07-09T00:00:00"/>
        <d v="2024-02-25T00:00:00"/>
        <d v="2023-02-10T00:00:00"/>
        <d v="2024-01-04T00:00:00"/>
        <d v="2024-04-18T00:00:00"/>
        <d v="2022-02-02T00:00:00"/>
        <d v="2024-12-02T00:00:00"/>
        <d v="2021-01-21T00:00:00"/>
        <d v="2024-03-07T00:00:00"/>
        <d v="2022-07-04T00:00:00"/>
        <d v="2023-02-01T00:00:00"/>
        <d v="2023-11-04T00:00:00"/>
        <d v="2024-05-02T00:00:00"/>
        <d v="2022-01-10T00:00:00"/>
        <d v="2022-05-06T00:00:00"/>
        <d v="2023-01-04T00:00:00"/>
        <d v="2021-09-26T00:00:00"/>
        <d v="2024-11-13T00:00:00"/>
        <d v="2021-05-17T00:00:00"/>
        <d v="2024-08-13T00:00:00"/>
        <d v="2024-10-27T00:00:00"/>
        <d v="2023-06-11T00:00:00"/>
        <d v="2024-08-01T00:00:00"/>
        <d v="2021-07-19T00:00:00"/>
        <d v="2024-01-24T00:00:00"/>
        <d v="2023-06-06T00:00:00"/>
        <d v="2023-01-15T00:00:00"/>
        <d v="2023-10-26T00:00:00"/>
        <d v="2024-04-12T00:00:00"/>
        <d v="2021-02-10T00:00:00"/>
        <d v="2021-12-18T00:00:00"/>
        <d v="2021-09-10T00:00:00"/>
        <d v="2021-03-05T00:00:00"/>
        <d v="2022-11-07T00:00:00"/>
        <d v="2022-05-26T00:00:00"/>
        <d v="2021-08-23T00:00:00"/>
        <d v="2023-10-02T00:00:00"/>
        <d v="2024-05-22T00:00:00"/>
        <d v="2024-11-15T00:00:00"/>
        <d v="2021-04-27T00:00:00"/>
        <d v="2021-05-25T00:00:00"/>
        <d v="2024-04-28T00:00:00"/>
        <d v="2024-11-05T00:00:00"/>
        <d v="2021-07-04T00:00:00"/>
        <d v="2022-02-20T00:00:00"/>
        <d v="2023-10-10T00:00:00"/>
        <d v="2021-10-28T00:00:00"/>
        <d v="2023-12-05T00:00:00"/>
        <d v="2022-04-28T00:00:00"/>
        <d v="2021-10-18T00:00:00"/>
        <d v="2024-06-22T00:00:00"/>
        <d v="2021-07-09T00:00:00"/>
        <d v="2021-05-28T00:00:00"/>
        <d v="2024-09-04T00:00:00"/>
        <d v="2024-07-14T00:00:00"/>
        <d v="2024-02-26T00:00:00"/>
        <d v="2022-11-16T00:00:00"/>
        <d v="2023-01-06T00:00:00"/>
        <d v="2021-03-06T00:00:00"/>
        <d v="2023-01-08T00:00:00"/>
        <d v="2023-02-13T00:00:00"/>
        <d v="2023-02-14T00:00:00"/>
        <d v="2023-06-24T00:00:00"/>
        <d v="2023-03-15T00:00:00"/>
        <d v="2024-10-18T00:00:00"/>
        <d v="2024-09-17T00:00:00"/>
        <d v="2023-12-28T00:00:00"/>
        <d v="2024-09-12T00:00:00"/>
        <d v="2024-03-06T00:00:00"/>
        <d v="2024-08-25T00:00:00"/>
        <d v="2023-08-17T00:00:00"/>
        <d v="2023-03-05T00:00:00"/>
        <d v="2021-01-08T00:00:00"/>
        <d v="2022-11-22T00:00:00"/>
        <d v="2021-10-24T00:00:00"/>
        <d v="2021-06-10T00:00:00"/>
        <d v="2023-03-16T00:00:00"/>
        <d v="2022-12-15T00:00:00"/>
        <d v="2022-11-12T00:00:00"/>
        <d v="2021-01-24T00:00:00"/>
        <d v="2024-01-12T00:00:00"/>
        <d v="2021-08-15T00:00:00"/>
        <d v="2023-02-09T00:00:00"/>
        <d v="2023-11-07T00:00:00"/>
        <s v="N/A"/>
        <d v="2021-05-13T00:00:00"/>
        <d v="2022-04-19T00:00:00"/>
        <d v="2022-04-20T00:00:00"/>
        <d v="2023-09-27T00:00:00"/>
        <d v="2024-03-17T00:00:00"/>
        <d v="2021-12-05T00:00:00"/>
        <d v="2022-05-18T00:00:00"/>
        <d v="2022-05-02T00:00:00"/>
        <d v="2022-11-08T00:00:00"/>
        <d v="2022-09-24T00:00:00"/>
        <d v="2024-05-07T00:00:00"/>
        <d v="2023-03-13T00:00:00"/>
        <d v="2021-09-15T00:00:00"/>
        <d v="2024-01-15T00:00:00"/>
        <d v="2021-08-02T00:00:00"/>
        <d v="2022-01-25T00:00:00"/>
        <d v="2022-02-04T00:00:00"/>
        <d v="2022-05-05T00:00:00"/>
        <d v="2023-07-06T00:00:00"/>
        <d v="2024-06-03T00:00:00"/>
        <d v="2021-12-25T00:00:00"/>
        <d v="2024-06-07T00:00:00"/>
        <d v="2024-09-21T00:00:00"/>
        <d v="2024-03-27T00:00:00"/>
        <d v="2021-01-17T00:00:00"/>
        <d v="2023-07-15T00:00:00"/>
        <d v="2023-10-28T00:00:00"/>
        <d v="2023-01-21T00:00:00"/>
        <d v="2024-12-26T00:00:00"/>
        <d v="2021-01-03T00:00:00"/>
        <d v="2023-05-16T00:00:00"/>
        <d v="2022-05-01T00:00:00"/>
        <d v="2022-06-13T00:00:00"/>
        <d v="2022-11-10T00:00:00"/>
        <d v="2021-04-22T00:00:00"/>
        <d v="2023-08-04T00:00:00"/>
        <d v="2024-04-26T00:00:00"/>
        <d v="2022-06-11T00:00:00"/>
        <d v="2022-06-04T00:00:00"/>
        <d v="2024-05-05T00:00:00"/>
        <d v="2022-02-19T00:00:00"/>
        <d v="2021-12-15T00:00:00"/>
        <d v="2022-10-05T00:00:00"/>
        <d v="2022-04-05T00:00:00"/>
        <d v="2021-12-03T00:00:00"/>
        <d v="2023-11-25T00:00:00"/>
        <d v="2023-05-03T00:00:00"/>
        <d v="2021-12-11T00:00:00"/>
        <d v="2022-08-12T00:00:00"/>
        <d v="2022-09-20T00:00:00"/>
        <d v="2021-06-11T00:00:00"/>
        <d v="2024-07-23T00:00:00"/>
        <d v="2024-12-28T00:00:00"/>
        <d v="2022-06-05T00:00:00"/>
        <d v="2023-03-09T00:00:00"/>
        <d v="2021-06-07T00:00:00"/>
        <d v="2021-06-01T00:00:00"/>
        <d v="2021-09-05T00:00:00"/>
        <d v="2022-03-25T00:00:00"/>
        <d v="2023-12-23T00:00:00"/>
        <d v="2021-08-04T00:00:00"/>
        <d v="2021-06-04T00:00:00"/>
        <d v="2021-10-20T00:00:00"/>
        <d v="2024-12-12T00:00:00"/>
        <d v="2022-02-08T00:00:00"/>
        <d v="2022-08-18T00:00:00"/>
        <d v="2021-03-19T00:00:00"/>
        <d v="2022-11-19T00:00:00"/>
        <d v="2023-12-03T00:00:00"/>
        <d v="2024-03-14T00:00:00"/>
        <d v="2022-07-06T00:00:00"/>
        <d v="2023-11-10T00:00:00"/>
        <d v="2021-04-06T00:00:00"/>
        <d v="2021-05-15T00:00:00"/>
        <d v="2024-10-08T00:00:00"/>
        <d v="2022-11-05T00:00:00"/>
        <d v="2021-07-05T00:00:00"/>
        <d v="2023-07-05T00:00:00"/>
        <d v="2022-03-10T00:00:00"/>
        <d v="2022-09-19T00:00:00"/>
        <d v="2022-06-16T00:00:00"/>
        <d v="2024-06-15T00:00:00"/>
        <d v="2023-11-11T00:00:00"/>
        <d v="2022-06-08T00:00:00"/>
        <d v="2024-01-28T00:00:00"/>
        <d v="2022-03-19T00:00:00"/>
        <d v="2022-01-22T00:00:00"/>
        <d v="2023-09-20T00:00:00"/>
        <d v="2023-10-20T00:00:00"/>
        <d v="2021-09-16T00:00:00"/>
        <d v="2023-05-15T00:00:00"/>
        <d v="2024-10-22T00:00:00"/>
        <d v="2022-11-28T00:00:00"/>
        <d v="2024-06-08T00:00:00"/>
        <d v="2021-07-14T00:00:00"/>
        <d v="2023-12-15T00:00:00"/>
        <d v="2022-04-04T00:00:00"/>
        <d v="2024-10-16T00:00:00"/>
        <d v="2024-10-23T00:00:00"/>
        <d v="2023-09-16T00:00:00"/>
        <d v="2021-12-26T00:00:00"/>
        <d v="2021-12-09T00:00:00"/>
        <d v="2023-09-09T00:00:00"/>
        <d v="2023-09-08T00:00:00"/>
        <d v="2021-02-22T00:00:00"/>
        <d v="2021-05-21T00:00:00"/>
        <d v="2022-01-15T00:00:00"/>
        <d v="2024-11-04T00:00:00"/>
        <d v="2024-03-18T00:00:00"/>
        <d v="2023-04-24T00:00:00"/>
        <d v="2023-06-14T00:00:00"/>
        <d v="2024-04-25T00:00:00"/>
        <d v="2022-12-24T00:00:00"/>
        <d v="2023-02-23T00:00:00"/>
        <d v="2023-08-26T00:00:00"/>
        <d v="2024-06-24T00:00:00"/>
        <d v="2021-03-09T00:00:00"/>
        <d v="2022-12-22T00:00:00"/>
        <d v="2021-09-17T00:00:00"/>
        <d v="2023-07-12T00:00:00"/>
        <d v="2024-05-10T00:00:00"/>
        <d v="2022-08-20T00:00:00"/>
        <d v="2023-04-02T00:00:00"/>
        <d v="2021-12-23T00:00:00"/>
        <d v="2021-09-03T00:00:00"/>
        <d v="2021-05-03T00:00:00"/>
        <d v="2023-04-19T00:00:00"/>
        <d v="2021-09-02T00:00:00"/>
        <d v="2023-07-28T00:00:00"/>
        <d v="2024-10-11T00:00:00"/>
        <d v="2024-04-05T00:00:00"/>
        <d v="2023-06-21T00:00:00"/>
        <d v="2024-02-04T00:00:00"/>
        <d v="2022-03-17T00:00:00"/>
        <d v="2023-08-18T00:00:00"/>
        <d v="2023-11-24T00:00:00"/>
        <d v="2021-03-04T00:00:00"/>
        <d v="2022-01-09T00:00:00"/>
        <d v="2022-08-13T00:00:00"/>
        <d v="2021-03-26T00:00:00"/>
        <d v="2021-01-12T00:00:00"/>
        <d v="2023-09-12T00:00:00"/>
        <d v="2023-01-12T00:00:00"/>
        <d v="2023-02-07T00:00:00"/>
        <d v="2022-07-25T00:00:00"/>
        <d v="2023-09-17T00:00:00"/>
        <d v="2024-01-10T00:00:00"/>
        <d v="2022-03-11T00:00:00"/>
        <d v="2022-04-03T00:00:00"/>
        <d v="2024-01-27T00:00:00"/>
        <d v="2022-12-20T00:00:00"/>
        <d v="2022-04-17T00:00:00"/>
        <d v="2021-11-09T00:00:00"/>
        <d v="2023-10-11T00:00:00"/>
        <d v="2021-03-11T00:00:00"/>
        <d v="2022-11-01T00:00:00"/>
        <d v="2024-04-24T00:00:00"/>
        <d v="2021-12-17T00:00:00"/>
        <d v="2024-08-18T00:00:00"/>
        <d v="2024-12-19T00:00:00"/>
        <d v="2022-12-07T00:00:00"/>
        <d v="2024-03-20T00:00:00"/>
        <d v="2022-12-10T00:00:00"/>
        <d v="2021-11-05T00:00:00"/>
        <d v="2022-06-15T00:00:00"/>
        <d v="2023-03-25T00:00:00"/>
        <d v="2021-10-25T00:00:00"/>
        <d v="2022-09-12T00:00:00"/>
        <d v="2021-07-02T00:00:00"/>
        <d v="2024-02-15T00:00:00"/>
        <d v="2023-08-15T00:00:00"/>
        <d v="2023-07-03T00:00:00"/>
        <d v="2022-04-22T00:00:00"/>
        <d v="2022-05-28T00:00:00"/>
        <d v="2024-07-12T00:00:00"/>
        <d v="2021-03-24T00:00:00"/>
        <d v="2023-12-20T00:00:00"/>
        <d v="2024-06-26T00:00:00"/>
        <d v="2022-10-24T00:00:00"/>
        <d v="2024-11-24T00:00:00"/>
      </sharedItems>
    </cacheField>
    <cacheField name="Sick_Days_2023" numFmtId="0">
      <sharedItems containsSemiMixedTypes="0" containsString="0" containsNumber="1" containsInteger="1" minValue="0" maxValue="20"/>
    </cacheField>
    <cacheField name="Sick_Days_2024" numFmtId="0">
      <sharedItems containsSemiMixedTypes="0" containsString="0" containsNumber="1" containsInteger="1" minValue="0" maxValue="20"/>
    </cacheField>
    <cacheField name="Chronic_Condition" numFmtId="0">
      <sharedItems count="6">
        <s v="diabetes"/>
        <s v="Obesity"/>
        <s v="None"/>
        <s v="Asthma"/>
        <s v="hypertension"/>
        <s v="Female" u="1"/>
      </sharedItems>
    </cacheField>
    <cacheField name="Vaccination_Status" numFmtId="0">
      <sharedItems count="4">
        <s v="Fully vaccinated"/>
        <s v="Not vaccinated"/>
        <s v="Partially vaccinated"/>
        <s v="Unknown"/>
      </sharedItems>
    </cacheField>
    <cacheField name="BMI category" numFmtId="0">
      <sharedItems count="4">
        <s v="Obese"/>
        <s v="Overweight"/>
        <s v="Normal"/>
        <s v="Underweight"/>
      </sharedItems>
    </cacheField>
    <cacheField name="Age group" numFmtId="0">
      <sharedItems count="4">
        <s v="Adult"/>
        <s v="Aged"/>
        <s v="Young adult"/>
        <s v="Elder"/>
      </sharedItems>
    </cacheField>
    <cacheField name="BP category" numFmtId="0">
      <sharedItems count="5">
        <s v="High Bp"/>
        <s v="Normal"/>
        <s v="Elevated"/>
        <s v="Hypertension Stage 2" u="1"/>
        <s v="Hypertension Stage 1" u="1"/>
      </sharedItems>
    </cacheField>
    <cacheField name="bp score" numFmtId="0">
      <sharedItems containsSemiMixedTypes="0" containsString="0" containsNumber="1" containsInteger="1" minValue="0" maxValue="1"/>
    </cacheField>
    <cacheField name="bmi score" numFmtId="0">
      <sharedItems containsSemiMixedTypes="0" containsString="0" containsNumber="1" containsInteger="1" minValue="0" maxValue="1"/>
    </cacheField>
    <cacheField name="Csmoking score" numFmtId="0">
      <sharedItems containsSemiMixedTypes="0" containsString="0" containsNumber="1" containsInteger="1" minValue="0" maxValue="1"/>
    </cacheField>
    <cacheField name="Condition score" numFmtId="0">
      <sharedItems containsSemiMixedTypes="0" containsString="0" containsNumber="1" containsInteger="1" minValue="0" maxValue="1"/>
    </cacheField>
    <cacheField name="Cholesterol score" numFmtId="0">
      <sharedItems containsSemiMixedTypes="0" containsString="0" containsNumber="1" containsInteger="1" minValue="0" maxValue="1"/>
    </cacheField>
    <cacheField name="risk score" numFmtId="0">
      <sharedItems containsSemiMixedTypes="0" containsString="0" containsNumber="1" containsInteger="1" minValue="0" maxValue="5"/>
    </cacheField>
    <cacheField name="Column1" numFmtId="0">
      <sharedItems count="3">
        <s v="High risk"/>
        <s v="Medium risk"/>
        <s v="Low risk"/>
      </sharedItems>
    </cacheField>
  </cacheFields>
  <extLst>
    <ext xmlns:x14="http://schemas.microsoft.com/office/spreadsheetml/2009/9/main" uri="{725AE2AE-9491-48be-B2B4-4EB974FC3084}">
      <x14:pivotCacheDefinition pivotCacheId="7726198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Tunde Okafor"/>
    <n v="39"/>
    <x v="0"/>
    <x v="0"/>
    <x v="0"/>
    <n v="35.4"/>
    <n v="169"/>
    <n v="65"/>
    <n v="248"/>
    <n v="78"/>
    <x v="0"/>
    <x v="0"/>
    <x v="0"/>
    <x v="0"/>
    <x v="0"/>
    <n v="20"/>
    <n v="17"/>
    <x v="0"/>
    <x v="0"/>
    <x v="0"/>
    <x v="0"/>
    <x v="0"/>
    <n v="1"/>
    <n v="1"/>
    <n v="1"/>
    <n v="1"/>
    <n v="1"/>
    <n v="5"/>
    <x v="0"/>
  </r>
  <r>
    <x v="1"/>
    <s v="Ayo Onwuka"/>
    <n v="39"/>
    <x v="1"/>
    <x v="1"/>
    <x v="1"/>
    <n v="25.5"/>
    <n v="119"/>
    <n v="73"/>
    <n v="226"/>
    <n v="96"/>
    <x v="1"/>
    <x v="1"/>
    <x v="1"/>
    <x v="0"/>
    <x v="1"/>
    <n v="1"/>
    <n v="14"/>
    <x v="1"/>
    <x v="1"/>
    <x v="1"/>
    <x v="0"/>
    <x v="1"/>
    <n v="0"/>
    <n v="0"/>
    <n v="0"/>
    <n v="1"/>
    <n v="1"/>
    <n v="2"/>
    <x v="1"/>
  </r>
  <r>
    <x v="2"/>
    <s v="Musa Balogun"/>
    <n v="57"/>
    <x v="1"/>
    <x v="1"/>
    <x v="2"/>
    <n v="31.4"/>
    <n v="108"/>
    <n v="62"/>
    <n v="198"/>
    <n v="144"/>
    <x v="1"/>
    <x v="2"/>
    <x v="1"/>
    <x v="1"/>
    <x v="2"/>
    <n v="11"/>
    <n v="5"/>
    <x v="2"/>
    <x v="2"/>
    <x v="0"/>
    <x v="1"/>
    <x v="1"/>
    <n v="0"/>
    <n v="1"/>
    <n v="0"/>
    <n v="0"/>
    <n v="0"/>
    <n v="1"/>
    <x v="2"/>
  </r>
  <r>
    <x v="3"/>
    <s v="Fatima Olawale"/>
    <n v="26"/>
    <x v="1"/>
    <x v="2"/>
    <x v="3"/>
    <n v="21.1"/>
    <n v="148"/>
    <n v="77"/>
    <n v="196"/>
    <n v="245"/>
    <x v="1"/>
    <x v="3"/>
    <x v="0"/>
    <x v="1"/>
    <x v="3"/>
    <n v="2"/>
    <n v="6"/>
    <x v="2"/>
    <x v="2"/>
    <x v="2"/>
    <x v="2"/>
    <x v="0"/>
    <n v="1"/>
    <n v="0"/>
    <n v="0"/>
    <n v="0"/>
    <n v="0"/>
    <n v="1"/>
    <x v="2"/>
  </r>
  <r>
    <x v="4"/>
    <s v="Fatima Sule"/>
    <n v="47"/>
    <x v="0"/>
    <x v="1"/>
    <x v="4"/>
    <n v="20.5"/>
    <n v="168"/>
    <n v="76"/>
    <n v="249"/>
    <n v="219"/>
    <x v="1"/>
    <x v="4"/>
    <x v="0"/>
    <x v="1"/>
    <x v="4"/>
    <n v="1"/>
    <n v="3"/>
    <x v="3"/>
    <x v="2"/>
    <x v="2"/>
    <x v="3"/>
    <x v="0"/>
    <n v="1"/>
    <n v="0"/>
    <n v="0"/>
    <n v="1"/>
    <n v="1"/>
    <n v="3"/>
    <x v="1"/>
  </r>
  <r>
    <x v="5"/>
    <s v="Chioma Taiwo"/>
    <n v="26"/>
    <x v="1"/>
    <x v="3"/>
    <x v="5"/>
    <n v="41.9"/>
    <n v="167"/>
    <n v="76"/>
    <n v="142"/>
    <n v="244"/>
    <x v="1"/>
    <x v="5"/>
    <x v="2"/>
    <x v="1"/>
    <x v="5"/>
    <n v="13"/>
    <n v="5"/>
    <x v="4"/>
    <x v="0"/>
    <x v="0"/>
    <x v="2"/>
    <x v="0"/>
    <n v="1"/>
    <n v="1"/>
    <n v="0"/>
    <n v="1"/>
    <n v="0"/>
    <n v="3"/>
    <x v="1"/>
  </r>
  <r>
    <x v="6"/>
    <s v="Seun Mbeki"/>
    <n v="33"/>
    <x v="0"/>
    <x v="4"/>
    <x v="6"/>
    <n v="32.200000000000003"/>
    <n v="119"/>
    <n v="83"/>
    <n v="181"/>
    <n v="208"/>
    <x v="1"/>
    <x v="3"/>
    <x v="3"/>
    <x v="0"/>
    <x v="6"/>
    <n v="11"/>
    <n v="9"/>
    <x v="2"/>
    <x v="0"/>
    <x v="0"/>
    <x v="0"/>
    <x v="0"/>
    <n v="1"/>
    <n v="1"/>
    <n v="0"/>
    <n v="0"/>
    <n v="0"/>
    <n v="2"/>
    <x v="1"/>
  </r>
  <r>
    <x v="7"/>
    <s v="Uche Onwuka"/>
    <n v="27"/>
    <x v="0"/>
    <x v="5"/>
    <x v="1"/>
    <n v="41.4"/>
    <n v="168"/>
    <n v="68"/>
    <n v="172"/>
    <n v="238"/>
    <x v="0"/>
    <x v="3"/>
    <x v="4"/>
    <x v="1"/>
    <x v="7"/>
    <n v="6"/>
    <n v="9"/>
    <x v="0"/>
    <x v="2"/>
    <x v="0"/>
    <x v="2"/>
    <x v="0"/>
    <n v="1"/>
    <n v="1"/>
    <n v="1"/>
    <n v="1"/>
    <n v="0"/>
    <n v="4"/>
    <x v="0"/>
  </r>
  <r>
    <x v="8"/>
    <s v="Ayo Mbeki"/>
    <n v="50"/>
    <x v="0"/>
    <x v="0"/>
    <x v="3"/>
    <n v="18.600000000000001"/>
    <n v="102"/>
    <n v="97"/>
    <n v="198"/>
    <n v="220"/>
    <x v="2"/>
    <x v="3"/>
    <x v="1"/>
    <x v="1"/>
    <x v="8"/>
    <n v="10"/>
    <n v="2"/>
    <x v="1"/>
    <x v="0"/>
    <x v="2"/>
    <x v="3"/>
    <x v="0"/>
    <n v="1"/>
    <n v="0"/>
    <n v="0"/>
    <n v="1"/>
    <n v="0"/>
    <n v="2"/>
    <x v="1"/>
  </r>
  <r>
    <x v="9"/>
    <s v="Seun Sule"/>
    <n v="45"/>
    <x v="0"/>
    <x v="0"/>
    <x v="0"/>
    <n v="37.200000000000003"/>
    <n v="124"/>
    <n v="66"/>
    <n v="164"/>
    <n v="238"/>
    <x v="1"/>
    <x v="4"/>
    <x v="5"/>
    <x v="1"/>
    <x v="9"/>
    <n v="20"/>
    <n v="20"/>
    <x v="4"/>
    <x v="0"/>
    <x v="0"/>
    <x v="3"/>
    <x v="2"/>
    <n v="0"/>
    <n v="1"/>
    <n v="0"/>
    <n v="1"/>
    <n v="0"/>
    <n v="2"/>
    <x v="1"/>
  </r>
  <r>
    <x v="10"/>
    <s v="Musa Fashola"/>
    <n v="28"/>
    <x v="0"/>
    <x v="0"/>
    <x v="3"/>
    <n v="30.4"/>
    <n v="117"/>
    <n v="87"/>
    <n v="186"/>
    <n v="141"/>
    <x v="0"/>
    <x v="2"/>
    <x v="1"/>
    <x v="0"/>
    <x v="10"/>
    <n v="17"/>
    <n v="0"/>
    <x v="4"/>
    <x v="0"/>
    <x v="0"/>
    <x v="2"/>
    <x v="0"/>
    <n v="1"/>
    <n v="1"/>
    <n v="1"/>
    <n v="1"/>
    <n v="0"/>
    <n v="4"/>
    <x v="0"/>
  </r>
  <r>
    <x v="11"/>
    <s v="Bello Lawal"/>
    <n v="53"/>
    <x v="0"/>
    <x v="0"/>
    <x v="1"/>
    <n v="39.6"/>
    <n v="121"/>
    <n v="84"/>
    <n v="140"/>
    <n v="169"/>
    <x v="0"/>
    <x v="5"/>
    <x v="6"/>
    <x v="1"/>
    <x v="11"/>
    <n v="9"/>
    <n v="6"/>
    <x v="0"/>
    <x v="3"/>
    <x v="0"/>
    <x v="1"/>
    <x v="0"/>
    <n v="1"/>
    <n v="1"/>
    <n v="1"/>
    <n v="1"/>
    <n v="0"/>
    <n v="4"/>
    <x v="0"/>
  </r>
  <r>
    <x v="12"/>
    <s v="Emeka Fashola"/>
    <n v="25"/>
    <x v="1"/>
    <x v="1"/>
    <x v="0"/>
    <n v="29.6"/>
    <n v="167"/>
    <n v="70"/>
    <n v="154"/>
    <n v="200"/>
    <x v="1"/>
    <x v="6"/>
    <x v="1"/>
    <x v="0"/>
    <x v="12"/>
    <n v="18"/>
    <n v="7"/>
    <x v="2"/>
    <x v="0"/>
    <x v="1"/>
    <x v="2"/>
    <x v="0"/>
    <n v="1"/>
    <n v="0"/>
    <n v="0"/>
    <n v="0"/>
    <n v="0"/>
    <n v="1"/>
    <x v="2"/>
  </r>
  <r>
    <x v="13"/>
    <s v="Femi Balogun"/>
    <n v="48"/>
    <x v="0"/>
    <x v="4"/>
    <x v="3"/>
    <n v="33.700000000000003"/>
    <n v="140"/>
    <n v="75"/>
    <n v="207"/>
    <n v="171"/>
    <x v="1"/>
    <x v="5"/>
    <x v="6"/>
    <x v="0"/>
    <x v="13"/>
    <n v="14"/>
    <n v="19"/>
    <x v="2"/>
    <x v="1"/>
    <x v="0"/>
    <x v="3"/>
    <x v="0"/>
    <n v="1"/>
    <n v="1"/>
    <n v="0"/>
    <n v="0"/>
    <n v="1"/>
    <n v="3"/>
    <x v="1"/>
  </r>
  <r>
    <x v="14"/>
    <s v="Ngozi Hassan"/>
    <n v="35"/>
    <x v="1"/>
    <x v="1"/>
    <x v="2"/>
    <n v="39"/>
    <n v="131"/>
    <n v="83"/>
    <n v="212"/>
    <n v="110"/>
    <x v="0"/>
    <x v="3"/>
    <x v="6"/>
    <x v="1"/>
    <x v="14"/>
    <n v="4"/>
    <n v="8"/>
    <x v="4"/>
    <x v="1"/>
    <x v="0"/>
    <x v="0"/>
    <x v="0"/>
    <n v="1"/>
    <n v="1"/>
    <n v="1"/>
    <n v="1"/>
    <n v="1"/>
    <n v="5"/>
    <x v="0"/>
  </r>
  <r>
    <x v="15"/>
    <s v="Dayo Eze"/>
    <n v="39"/>
    <x v="1"/>
    <x v="1"/>
    <x v="3"/>
    <n v="34.9"/>
    <n v="126"/>
    <n v="103"/>
    <n v="207"/>
    <n v="199"/>
    <x v="0"/>
    <x v="7"/>
    <x v="7"/>
    <x v="0"/>
    <x v="15"/>
    <n v="0"/>
    <n v="10"/>
    <x v="3"/>
    <x v="1"/>
    <x v="0"/>
    <x v="0"/>
    <x v="0"/>
    <n v="1"/>
    <n v="1"/>
    <n v="1"/>
    <n v="1"/>
    <n v="1"/>
    <n v="5"/>
    <x v="0"/>
  </r>
  <r>
    <x v="16"/>
    <s v="Bello Dike"/>
    <n v="57"/>
    <x v="1"/>
    <x v="2"/>
    <x v="2"/>
    <n v="19.8"/>
    <n v="119"/>
    <n v="94"/>
    <n v="149"/>
    <n v="164"/>
    <x v="3"/>
    <x v="3"/>
    <x v="4"/>
    <x v="1"/>
    <x v="16"/>
    <n v="11"/>
    <n v="1"/>
    <x v="2"/>
    <x v="0"/>
    <x v="2"/>
    <x v="1"/>
    <x v="0"/>
    <n v="1"/>
    <n v="0"/>
    <n v="0"/>
    <n v="0"/>
    <n v="0"/>
    <n v="1"/>
    <x v="2"/>
  </r>
  <r>
    <x v="17"/>
    <s v="Uche Nwosu"/>
    <n v="44"/>
    <x v="1"/>
    <x v="1"/>
    <x v="0"/>
    <n v="40.1"/>
    <n v="130"/>
    <n v="70"/>
    <n v="185"/>
    <n v="175"/>
    <x v="0"/>
    <x v="6"/>
    <x v="8"/>
    <x v="1"/>
    <x v="17"/>
    <n v="3"/>
    <n v="12"/>
    <x v="0"/>
    <x v="3"/>
    <x v="0"/>
    <x v="3"/>
    <x v="0"/>
    <n v="1"/>
    <n v="1"/>
    <n v="1"/>
    <n v="1"/>
    <n v="0"/>
    <n v="4"/>
    <x v="0"/>
  </r>
  <r>
    <x v="18"/>
    <s v="Uche Okonkwo"/>
    <n v="51"/>
    <x v="0"/>
    <x v="4"/>
    <x v="3"/>
    <n v="22.6"/>
    <n v="124"/>
    <n v="85"/>
    <n v="224"/>
    <n v="141"/>
    <x v="1"/>
    <x v="7"/>
    <x v="8"/>
    <x v="1"/>
    <x v="18"/>
    <n v="8"/>
    <n v="5"/>
    <x v="2"/>
    <x v="1"/>
    <x v="2"/>
    <x v="1"/>
    <x v="0"/>
    <n v="1"/>
    <n v="0"/>
    <n v="0"/>
    <n v="0"/>
    <n v="1"/>
    <n v="2"/>
    <x v="1"/>
  </r>
  <r>
    <x v="19"/>
    <s v="Emeka Nwosu"/>
    <n v="60"/>
    <x v="1"/>
    <x v="6"/>
    <x v="2"/>
    <n v="27.9"/>
    <n v="165"/>
    <n v="67"/>
    <n v="238"/>
    <n v="217"/>
    <x v="2"/>
    <x v="7"/>
    <x v="7"/>
    <x v="1"/>
    <x v="19"/>
    <n v="17"/>
    <n v="6"/>
    <x v="2"/>
    <x v="3"/>
    <x v="1"/>
    <x v="1"/>
    <x v="0"/>
    <n v="1"/>
    <n v="0"/>
    <n v="0"/>
    <n v="0"/>
    <n v="1"/>
    <n v="2"/>
    <x v="1"/>
  </r>
  <r>
    <x v="20"/>
    <s v="Ngozi Fashola"/>
    <n v="61"/>
    <x v="0"/>
    <x v="2"/>
    <x v="4"/>
    <n v="29.7"/>
    <n v="152"/>
    <n v="80"/>
    <n v="243"/>
    <n v="248"/>
    <x v="0"/>
    <x v="3"/>
    <x v="4"/>
    <x v="0"/>
    <x v="20"/>
    <n v="5"/>
    <n v="19"/>
    <x v="2"/>
    <x v="1"/>
    <x v="1"/>
    <x v="1"/>
    <x v="0"/>
    <n v="1"/>
    <n v="0"/>
    <n v="1"/>
    <n v="0"/>
    <n v="1"/>
    <n v="3"/>
    <x v="1"/>
  </r>
  <r>
    <x v="21"/>
    <s v="Musa Hassan"/>
    <n v="22"/>
    <x v="1"/>
    <x v="4"/>
    <x v="3"/>
    <n v="27.7"/>
    <n v="141"/>
    <n v="89"/>
    <n v="253"/>
    <n v="183"/>
    <x v="2"/>
    <x v="3"/>
    <x v="9"/>
    <x v="1"/>
    <x v="21"/>
    <n v="20"/>
    <n v="19"/>
    <x v="2"/>
    <x v="1"/>
    <x v="1"/>
    <x v="2"/>
    <x v="0"/>
    <n v="1"/>
    <n v="0"/>
    <n v="0"/>
    <n v="0"/>
    <n v="1"/>
    <n v="2"/>
    <x v="1"/>
  </r>
  <r>
    <x v="22"/>
    <s v="Uche Igwe"/>
    <n v="36"/>
    <x v="0"/>
    <x v="1"/>
    <x v="2"/>
    <n v="18.2"/>
    <n v="160"/>
    <n v="99"/>
    <n v="158"/>
    <n v="186"/>
    <x v="1"/>
    <x v="5"/>
    <x v="3"/>
    <x v="0"/>
    <x v="22"/>
    <n v="7"/>
    <n v="4"/>
    <x v="2"/>
    <x v="0"/>
    <x v="3"/>
    <x v="0"/>
    <x v="0"/>
    <n v="1"/>
    <n v="0"/>
    <n v="0"/>
    <n v="0"/>
    <n v="0"/>
    <n v="1"/>
    <x v="2"/>
  </r>
  <r>
    <x v="23"/>
    <s v="Tunde Lawal"/>
    <n v="36"/>
    <x v="1"/>
    <x v="2"/>
    <x v="0"/>
    <n v="18.3"/>
    <n v="131"/>
    <n v="67"/>
    <n v="256"/>
    <n v="104"/>
    <x v="0"/>
    <x v="5"/>
    <x v="2"/>
    <x v="0"/>
    <x v="23"/>
    <n v="16"/>
    <n v="13"/>
    <x v="1"/>
    <x v="3"/>
    <x v="3"/>
    <x v="0"/>
    <x v="0"/>
    <n v="1"/>
    <n v="0"/>
    <n v="1"/>
    <n v="1"/>
    <n v="1"/>
    <n v="4"/>
    <x v="0"/>
  </r>
  <r>
    <x v="24"/>
    <s v="Bello Sule"/>
    <n v="50"/>
    <x v="1"/>
    <x v="0"/>
    <x v="4"/>
    <n v="36.1"/>
    <n v="166"/>
    <n v="91"/>
    <n v="201"/>
    <n v="140"/>
    <x v="0"/>
    <x v="0"/>
    <x v="6"/>
    <x v="0"/>
    <x v="24"/>
    <n v="17"/>
    <n v="2"/>
    <x v="3"/>
    <x v="2"/>
    <x v="0"/>
    <x v="3"/>
    <x v="0"/>
    <n v="1"/>
    <n v="1"/>
    <n v="1"/>
    <n v="1"/>
    <n v="1"/>
    <n v="5"/>
    <x v="0"/>
  </r>
  <r>
    <x v="25"/>
    <s v="Uche Obi"/>
    <n v="31"/>
    <x v="0"/>
    <x v="2"/>
    <x v="1"/>
    <n v="27.2"/>
    <n v="169"/>
    <n v="89"/>
    <n v="246"/>
    <n v="85"/>
    <x v="2"/>
    <x v="1"/>
    <x v="5"/>
    <x v="1"/>
    <x v="25"/>
    <n v="11"/>
    <n v="9"/>
    <x v="0"/>
    <x v="3"/>
    <x v="1"/>
    <x v="0"/>
    <x v="0"/>
    <n v="1"/>
    <n v="0"/>
    <n v="0"/>
    <n v="1"/>
    <n v="1"/>
    <n v="3"/>
    <x v="1"/>
  </r>
  <r>
    <x v="26"/>
    <s v="Dayo Hassan"/>
    <n v="60"/>
    <x v="0"/>
    <x v="5"/>
    <x v="3"/>
    <n v="23.8"/>
    <n v="162"/>
    <n v="61"/>
    <n v="239"/>
    <n v="156"/>
    <x v="1"/>
    <x v="6"/>
    <x v="9"/>
    <x v="1"/>
    <x v="26"/>
    <n v="18"/>
    <n v="0"/>
    <x v="4"/>
    <x v="3"/>
    <x v="2"/>
    <x v="1"/>
    <x v="0"/>
    <n v="1"/>
    <n v="0"/>
    <n v="0"/>
    <n v="1"/>
    <n v="1"/>
    <n v="3"/>
    <x v="1"/>
  </r>
  <r>
    <x v="27"/>
    <s v="Amaka Dike"/>
    <n v="33"/>
    <x v="1"/>
    <x v="4"/>
    <x v="1"/>
    <n v="25.2"/>
    <n v="158"/>
    <n v="80"/>
    <n v="226"/>
    <n v="167"/>
    <x v="0"/>
    <x v="1"/>
    <x v="6"/>
    <x v="0"/>
    <x v="27"/>
    <n v="17"/>
    <n v="1"/>
    <x v="2"/>
    <x v="0"/>
    <x v="1"/>
    <x v="0"/>
    <x v="0"/>
    <n v="1"/>
    <n v="0"/>
    <n v="1"/>
    <n v="0"/>
    <n v="1"/>
    <n v="3"/>
    <x v="1"/>
  </r>
  <r>
    <x v="28"/>
    <s v="Ngozi Adeyemi"/>
    <n v="23"/>
    <x v="0"/>
    <x v="0"/>
    <x v="2"/>
    <n v="32.5"/>
    <n v="130"/>
    <n v="68"/>
    <n v="261"/>
    <n v="241"/>
    <x v="1"/>
    <x v="3"/>
    <x v="0"/>
    <x v="0"/>
    <x v="28"/>
    <n v="19"/>
    <n v="19"/>
    <x v="4"/>
    <x v="2"/>
    <x v="0"/>
    <x v="2"/>
    <x v="0"/>
    <n v="1"/>
    <n v="1"/>
    <n v="0"/>
    <n v="1"/>
    <n v="1"/>
    <n v="4"/>
    <x v="0"/>
  </r>
  <r>
    <x v="29"/>
    <s v="Ada Nwosu"/>
    <n v="59"/>
    <x v="1"/>
    <x v="4"/>
    <x v="5"/>
    <n v="32"/>
    <n v="150"/>
    <n v="105"/>
    <n v="190"/>
    <n v="89"/>
    <x v="3"/>
    <x v="5"/>
    <x v="0"/>
    <x v="0"/>
    <x v="29"/>
    <n v="18"/>
    <n v="1"/>
    <x v="2"/>
    <x v="3"/>
    <x v="0"/>
    <x v="1"/>
    <x v="0"/>
    <n v="1"/>
    <n v="1"/>
    <n v="0"/>
    <n v="0"/>
    <n v="0"/>
    <n v="2"/>
    <x v="1"/>
  </r>
  <r>
    <x v="30"/>
    <s v="Chioma Yakubu"/>
    <n v="26"/>
    <x v="0"/>
    <x v="5"/>
    <x v="1"/>
    <n v="37.6"/>
    <n v="113"/>
    <n v="87"/>
    <n v="232"/>
    <n v="232"/>
    <x v="0"/>
    <x v="6"/>
    <x v="5"/>
    <x v="1"/>
    <x v="30"/>
    <n v="17"/>
    <n v="15"/>
    <x v="4"/>
    <x v="3"/>
    <x v="0"/>
    <x v="2"/>
    <x v="0"/>
    <n v="1"/>
    <n v="1"/>
    <n v="1"/>
    <n v="1"/>
    <n v="1"/>
    <n v="5"/>
    <x v="0"/>
  </r>
  <r>
    <x v="31"/>
    <s v="Nkem Olawale"/>
    <n v="42"/>
    <x v="0"/>
    <x v="2"/>
    <x v="4"/>
    <n v="39"/>
    <n v="131"/>
    <n v="89"/>
    <n v="237"/>
    <n v="156"/>
    <x v="0"/>
    <x v="5"/>
    <x v="8"/>
    <x v="1"/>
    <x v="31"/>
    <n v="8"/>
    <n v="10"/>
    <x v="2"/>
    <x v="1"/>
    <x v="0"/>
    <x v="3"/>
    <x v="0"/>
    <n v="1"/>
    <n v="1"/>
    <n v="1"/>
    <n v="0"/>
    <n v="1"/>
    <n v="4"/>
    <x v="0"/>
  </r>
  <r>
    <x v="32"/>
    <s v="Dayo Okafor"/>
    <n v="55"/>
    <x v="0"/>
    <x v="2"/>
    <x v="3"/>
    <n v="35"/>
    <n v="162"/>
    <n v="95"/>
    <n v="201"/>
    <n v="246"/>
    <x v="0"/>
    <x v="5"/>
    <x v="9"/>
    <x v="0"/>
    <x v="32"/>
    <n v="7"/>
    <n v="12"/>
    <x v="2"/>
    <x v="1"/>
    <x v="0"/>
    <x v="1"/>
    <x v="0"/>
    <n v="1"/>
    <n v="1"/>
    <n v="1"/>
    <n v="0"/>
    <n v="1"/>
    <n v="4"/>
    <x v="0"/>
  </r>
  <r>
    <x v="33"/>
    <s v="Nkem Yakubu"/>
    <n v="52"/>
    <x v="0"/>
    <x v="3"/>
    <x v="6"/>
    <n v="25.3"/>
    <n v="158"/>
    <n v="77"/>
    <n v="218"/>
    <n v="134"/>
    <x v="2"/>
    <x v="0"/>
    <x v="0"/>
    <x v="0"/>
    <x v="33"/>
    <n v="5"/>
    <n v="6"/>
    <x v="2"/>
    <x v="3"/>
    <x v="1"/>
    <x v="1"/>
    <x v="0"/>
    <n v="1"/>
    <n v="0"/>
    <n v="0"/>
    <n v="0"/>
    <n v="1"/>
    <n v="2"/>
    <x v="1"/>
  </r>
  <r>
    <x v="34"/>
    <s v="Seun Onwuka"/>
    <n v="55"/>
    <x v="1"/>
    <x v="2"/>
    <x v="3"/>
    <n v="24.4"/>
    <n v="146"/>
    <n v="71"/>
    <n v="217"/>
    <n v="73"/>
    <x v="1"/>
    <x v="6"/>
    <x v="6"/>
    <x v="1"/>
    <x v="34"/>
    <n v="4"/>
    <n v="20"/>
    <x v="4"/>
    <x v="1"/>
    <x v="2"/>
    <x v="1"/>
    <x v="0"/>
    <n v="1"/>
    <n v="0"/>
    <n v="0"/>
    <n v="1"/>
    <n v="1"/>
    <n v="3"/>
    <x v="1"/>
  </r>
  <r>
    <x v="35"/>
    <s v="Chukwu Onwuka"/>
    <n v="40"/>
    <x v="0"/>
    <x v="5"/>
    <x v="0"/>
    <n v="25.5"/>
    <n v="106"/>
    <n v="76"/>
    <n v="262"/>
    <n v="99"/>
    <x v="1"/>
    <x v="1"/>
    <x v="9"/>
    <x v="0"/>
    <x v="35"/>
    <n v="18"/>
    <n v="9"/>
    <x v="4"/>
    <x v="0"/>
    <x v="1"/>
    <x v="0"/>
    <x v="1"/>
    <n v="0"/>
    <n v="0"/>
    <n v="0"/>
    <n v="1"/>
    <n v="1"/>
    <n v="2"/>
    <x v="1"/>
  </r>
  <r>
    <x v="36"/>
    <s v="Tunde Hassan"/>
    <n v="48"/>
    <x v="0"/>
    <x v="2"/>
    <x v="1"/>
    <n v="28.3"/>
    <n v="156"/>
    <n v="79"/>
    <n v="249"/>
    <n v="148"/>
    <x v="3"/>
    <x v="3"/>
    <x v="7"/>
    <x v="0"/>
    <x v="36"/>
    <n v="8"/>
    <n v="2"/>
    <x v="3"/>
    <x v="0"/>
    <x v="1"/>
    <x v="3"/>
    <x v="0"/>
    <n v="1"/>
    <n v="0"/>
    <n v="0"/>
    <n v="1"/>
    <n v="1"/>
    <n v="3"/>
    <x v="1"/>
  </r>
  <r>
    <x v="37"/>
    <s v="Bello Hassan"/>
    <n v="26"/>
    <x v="1"/>
    <x v="5"/>
    <x v="1"/>
    <n v="28.3"/>
    <n v="160"/>
    <n v="78"/>
    <n v="148"/>
    <n v="129"/>
    <x v="0"/>
    <x v="7"/>
    <x v="9"/>
    <x v="0"/>
    <x v="37"/>
    <n v="20"/>
    <n v="18"/>
    <x v="2"/>
    <x v="0"/>
    <x v="1"/>
    <x v="2"/>
    <x v="0"/>
    <n v="1"/>
    <n v="0"/>
    <n v="1"/>
    <n v="0"/>
    <n v="0"/>
    <n v="2"/>
    <x v="1"/>
  </r>
  <r>
    <x v="38"/>
    <s v="Chioma Nwosu"/>
    <n v="56"/>
    <x v="0"/>
    <x v="1"/>
    <x v="4"/>
    <n v="37.700000000000003"/>
    <n v="109"/>
    <n v="63"/>
    <n v="182"/>
    <n v="148"/>
    <x v="3"/>
    <x v="3"/>
    <x v="6"/>
    <x v="0"/>
    <x v="38"/>
    <n v="9"/>
    <n v="12"/>
    <x v="2"/>
    <x v="3"/>
    <x v="0"/>
    <x v="1"/>
    <x v="1"/>
    <n v="0"/>
    <n v="1"/>
    <n v="0"/>
    <n v="0"/>
    <n v="0"/>
    <n v="1"/>
    <x v="2"/>
  </r>
  <r>
    <x v="39"/>
    <s v="Dayo Sule"/>
    <n v="50"/>
    <x v="0"/>
    <x v="1"/>
    <x v="2"/>
    <n v="39.200000000000003"/>
    <n v="134"/>
    <n v="98"/>
    <n v="204"/>
    <n v="76"/>
    <x v="1"/>
    <x v="2"/>
    <x v="3"/>
    <x v="1"/>
    <x v="39"/>
    <n v="5"/>
    <n v="15"/>
    <x v="1"/>
    <x v="3"/>
    <x v="0"/>
    <x v="3"/>
    <x v="0"/>
    <n v="1"/>
    <n v="1"/>
    <n v="0"/>
    <n v="1"/>
    <n v="1"/>
    <n v="4"/>
    <x v="0"/>
  </r>
  <r>
    <x v="40"/>
    <s v="Seun Aliyu"/>
    <n v="59"/>
    <x v="1"/>
    <x v="5"/>
    <x v="1"/>
    <n v="28.8"/>
    <n v="152"/>
    <n v="81"/>
    <n v="222"/>
    <n v="241"/>
    <x v="1"/>
    <x v="6"/>
    <x v="8"/>
    <x v="1"/>
    <x v="40"/>
    <n v="12"/>
    <n v="17"/>
    <x v="0"/>
    <x v="3"/>
    <x v="1"/>
    <x v="1"/>
    <x v="0"/>
    <n v="1"/>
    <n v="0"/>
    <n v="0"/>
    <n v="1"/>
    <n v="1"/>
    <n v="3"/>
    <x v="1"/>
  </r>
  <r>
    <x v="41"/>
    <s v="Ngozi Fashola"/>
    <n v="38"/>
    <x v="0"/>
    <x v="2"/>
    <x v="1"/>
    <n v="38.6"/>
    <n v="100"/>
    <n v="102"/>
    <n v="278"/>
    <n v="188"/>
    <x v="1"/>
    <x v="3"/>
    <x v="0"/>
    <x v="0"/>
    <x v="41"/>
    <n v="1"/>
    <n v="6"/>
    <x v="2"/>
    <x v="3"/>
    <x v="0"/>
    <x v="0"/>
    <x v="0"/>
    <n v="1"/>
    <n v="1"/>
    <n v="0"/>
    <n v="0"/>
    <n v="1"/>
    <n v="3"/>
    <x v="1"/>
  </r>
  <r>
    <x v="42"/>
    <s v="Amaka Igwe"/>
    <n v="50"/>
    <x v="0"/>
    <x v="2"/>
    <x v="2"/>
    <n v="41.3"/>
    <n v="130"/>
    <n v="105"/>
    <n v="180"/>
    <n v="149"/>
    <x v="1"/>
    <x v="3"/>
    <x v="2"/>
    <x v="1"/>
    <x v="42"/>
    <n v="3"/>
    <n v="14"/>
    <x v="4"/>
    <x v="2"/>
    <x v="0"/>
    <x v="3"/>
    <x v="0"/>
    <n v="1"/>
    <n v="1"/>
    <n v="0"/>
    <n v="1"/>
    <n v="0"/>
    <n v="3"/>
    <x v="1"/>
  </r>
  <r>
    <x v="43"/>
    <s v="Ibrahim Igwe"/>
    <n v="54"/>
    <x v="1"/>
    <x v="3"/>
    <x v="0"/>
    <n v="41.5"/>
    <n v="131"/>
    <n v="89"/>
    <n v="177"/>
    <n v="168"/>
    <x v="2"/>
    <x v="3"/>
    <x v="2"/>
    <x v="1"/>
    <x v="43"/>
    <n v="13"/>
    <n v="10"/>
    <x v="1"/>
    <x v="1"/>
    <x v="0"/>
    <x v="1"/>
    <x v="0"/>
    <n v="1"/>
    <n v="1"/>
    <n v="0"/>
    <n v="1"/>
    <n v="0"/>
    <n v="3"/>
    <x v="1"/>
  </r>
  <r>
    <x v="44"/>
    <s v="Chukwu Igwe"/>
    <n v="41"/>
    <x v="0"/>
    <x v="1"/>
    <x v="0"/>
    <n v="30.5"/>
    <n v="144"/>
    <n v="81"/>
    <n v="279"/>
    <n v="166"/>
    <x v="0"/>
    <x v="4"/>
    <x v="10"/>
    <x v="0"/>
    <x v="44"/>
    <n v="13"/>
    <n v="1"/>
    <x v="2"/>
    <x v="3"/>
    <x v="0"/>
    <x v="3"/>
    <x v="0"/>
    <n v="1"/>
    <n v="1"/>
    <n v="1"/>
    <n v="0"/>
    <n v="1"/>
    <n v="4"/>
    <x v="0"/>
  </r>
  <r>
    <x v="45"/>
    <s v="Musa Obi"/>
    <n v="31"/>
    <x v="0"/>
    <x v="5"/>
    <x v="0"/>
    <n v="29.6"/>
    <n v="142"/>
    <n v="66"/>
    <n v="252"/>
    <n v="95"/>
    <x v="1"/>
    <x v="5"/>
    <x v="7"/>
    <x v="1"/>
    <x v="45"/>
    <n v="2"/>
    <n v="15"/>
    <x v="2"/>
    <x v="2"/>
    <x v="1"/>
    <x v="0"/>
    <x v="0"/>
    <n v="1"/>
    <n v="0"/>
    <n v="0"/>
    <n v="0"/>
    <n v="1"/>
    <n v="2"/>
    <x v="1"/>
  </r>
  <r>
    <x v="46"/>
    <s v="Femi Obi"/>
    <n v="27"/>
    <x v="0"/>
    <x v="2"/>
    <x v="1"/>
    <n v="40.9"/>
    <n v="162"/>
    <n v="94"/>
    <n v="149"/>
    <n v="228"/>
    <x v="1"/>
    <x v="2"/>
    <x v="6"/>
    <x v="0"/>
    <x v="46"/>
    <n v="20"/>
    <n v="3"/>
    <x v="4"/>
    <x v="2"/>
    <x v="0"/>
    <x v="2"/>
    <x v="0"/>
    <n v="1"/>
    <n v="1"/>
    <n v="0"/>
    <n v="1"/>
    <n v="0"/>
    <n v="3"/>
    <x v="1"/>
  </r>
  <r>
    <x v="47"/>
    <s v="Ada Okafor"/>
    <n v="24"/>
    <x v="0"/>
    <x v="5"/>
    <x v="4"/>
    <n v="26"/>
    <n v="155"/>
    <n v="69"/>
    <n v="202"/>
    <n v="205"/>
    <x v="1"/>
    <x v="3"/>
    <x v="4"/>
    <x v="1"/>
    <x v="47"/>
    <n v="12"/>
    <n v="19"/>
    <x v="2"/>
    <x v="0"/>
    <x v="1"/>
    <x v="2"/>
    <x v="0"/>
    <n v="1"/>
    <n v="0"/>
    <n v="0"/>
    <n v="0"/>
    <n v="1"/>
    <n v="2"/>
    <x v="1"/>
  </r>
  <r>
    <x v="48"/>
    <s v="Ibrahim Onwuka"/>
    <n v="31"/>
    <x v="0"/>
    <x v="5"/>
    <x v="4"/>
    <n v="28.5"/>
    <n v="101"/>
    <n v="89"/>
    <n v="213"/>
    <n v="243"/>
    <x v="1"/>
    <x v="6"/>
    <x v="1"/>
    <x v="0"/>
    <x v="48"/>
    <n v="20"/>
    <n v="13"/>
    <x v="2"/>
    <x v="3"/>
    <x v="1"/>
    <x v="0"/>
    <x v="0"/>
    <n v="1"/>
    <n v="0"/>
    <n v="0"/>
    <n v="0"/>
    <n v="1"/>
    <n v="2"/>
    <x v="1"/>
  </r>
  <r>
    <x v="49"/>
    <s v="Ada Okonkwo"/>
    <n v="46"/>
    <x v="0"/>
    <x v="2"/>
    <x v="3"/>
    <n v="26.5"/>
    <n v="145"/>
    <n v="96"/>
    <n v="215"/>
    <n v="249"/>
    <x v="0"/>
    <x v="3"/>
    <x v="5"/>
    <x v="1"/>
    <x v="49"/>
    <n v="1"/>
    <n v="19"/>
    <x v="4"/>
    <x v="1"/>
    <x v="1"/>
    <x v="3"/>
    <x v="0"/>
    <n v="1"/>
    <n v="0"/>
    <n v="1"/>
    <n v="1"/>
    <n v="1"/>
    <n v="4"/>
    <x v="0"/>
  </r>
  <r>
    <x v="50"/>
    <s v="Uche Taiwo"/>
    <n v="44"/>
    <x v="0"/>
    <x v="0"/>
    <x v="5"/>
    <n v="23.3"/>
    <n v="117"/>
    <n v="100"/>
    <n v="164"/>
    <n v="230"/>
    <x v="0"/>
    <x v="7"/>
    <x v="9"/>
    <x v="1"/>
    <x v="50"/>
    <n v="2"/>
    <n v="9"/>
    <x v="2"/>
    <x v="3"/>
    <x v="2"/>
    <x v="3"/>
    <x v="0"/>
    <n v="1"/>
    <n v="0"/>
    <n v="1"/>
    <n v="0"/>
    <n v="0"/>
    <n v="2"/>
    <x v="1"/>
  </r>
  <r>
    <x v="51"/>
    <s v="Bello Okonkwo"/>
    <n v="30"/>
    <x v="0"/>
    <x v="2"/>
    <x v="6"/>
    <n v="39.799999999999997"/>
    <n v="121"/>
    <n v="76"/>
    <n v="263"/>
    <n v="145"/>
    <x v="1"/>
    <x v="0"/>
    <x v="9"/>
    <x v="0"/>
    <x v="51"/>
    <n v="12"/>
    <n v="17"/>
    <x v="2"/>
    <x v="1"/>
    <x v="0"/>
    <x v="2"/>
    <x v="2"/>
    <n v="0"/>
    <n v="1"/>
    <n v="0"/>
    <n v="0"/>
    <n v="1"/>
    <n v="2"/>
    <x v="1"/>
  </r>
  <r>
    <x v="52"/>
    <s v="Musa Okafor"/>
    <n v="38"/>
    <x v="0"/>
    <x v="5"/>
    <x v="2"/>
    <n v="33.799999999999997"/>
    <n v="133"/>
    <n v="97"/>
    <n v="237"/>
    <n v="233"/>
    <x v="1"/>
    <x v="0"/>
    <x v="0"/>
    <x v="0"/>
    <x v="52"/>
    <n v="10"/>
    <n v="19"/>
    <x v="2"/>
    <x v="1"/>
    <x v="0"/>
    <x v="0"/>
    <x v="0"/>
    <n v="1"/>
    <n v="1"/>
    <n v="0"/>
    <n v="0"/>
    <n v="1"/>
    <n v="3"/>
    <x v="1"/>
  </r>
  <r>
    <x v="53"/>
    <s v="Ayo Igwe"/>
    <n v="48"/>
    <x v="0"/>
    <x v="1"/>
    <x v="2"/>
    <n v="40.700000000000003"/>
    <n v="138"/>
    <n v="91"/>
    <n v="169"/>
    <n v="94"/>
    <x v="2"/>
    <x v="3"/>
    <x v="4"/>
    <x v="1"/>
    <x v="53"/>
    <n v="17"/>
    <n v="13"/>
    <x v="2"/>
    <x v="2"/>
    <x v="0"/>
    <x v="3"/>
    <x v="0"/>
    <n v="1"/>
    <n v="1"/>
    <n v="0"/>
    <n v="0"/>
    <n v="0"/>
    <n v="2"/>
    <x v="1"/>
  </r>
  <r>
    <x v="54"/>
    <s v="Chioma Nwosu"/>
    <n v="53"/>
    <x v="1"/>
    <x v="4"/>
    <x v="2"/>
    <n v="34.299999999999997"/>
    <n v="127"/>
    <n v="88"/>
    <n v="213"/>
    <n v="130"/>
    <x v="1"/>
    <x v="0"/>
    <x v="8"/>
    <x v="0"/>
    <x v="54"/>
    <n v="6"/>
    <n v="3"/>
    <x v="4"/>
    <x v="1"/>
    <x v="0"/>
    <x v="1"/>
    <x v="0"/>
    <n v="1"/>
    <n v="1"/>
    <n v="0"/>
    <n v="1"/>
    <n v="1"/>
    <n v="4"/>
    <x v="0"/>
  </r>
  <r>
    <x v="55"/>
    <s v="Fatima Taiwo"/>
    <n v="23"/>
    <x v="1"/>
    <x v="6"/>
    <x v="3"/>
    <n v="41.7"/>
    <n v="126"/>
    <n v="64"/>
    <n v="193"/>
    <n v="220"/>
    <x v="2"/>
    <x v="2"/>
    <x v="8"/>
    <x v="1"/>
    <x v="55"/>
    <n v="4"/>
    <n v="4"/>
    <x v="1"/>
    <x v="1"/>
    <x v="0"/>
    <x v="2"/>
    <x v="2"/>
    <n v="0"/>
    <n v="1"/>
    <n v="0"/>
    <n v="1"/>
    <n v="0"/>
    <n v="2"/>
    <x v="1"/>
  </r>
  <r>
    <x v="56"/>
    <s v="Bello Nwosu"/>
    <n v="23"/>
    <x v="1"/>
    <x v="5"/>
    <x v="2"/>
    <n v="36.700000000000003"/>
    <n v="130"/>
    <n v="97"/>
    <n v="222"/>
    <n v="74"/>
    <x v="1"/>
    <x v="7"/>
    <x v="7"/>
    <x v="1"/>
    <x v="56"/>
    <n v="2"/>
    <n v="15"/>
    <x v="4"/>
    <x v="2"/>
    <x v="0"/>
    <x v="2"/>
    <x v="0"/>
    <n v="1"/>
    <n v="1"/>
    <n v="0"/>
    <n v="1"/>
    <n v="1"/>
    <n v="4"/>
    <x v="0"/>
  </r>
  <r>
    <x v="57"/>
    <s v="Blessing Onwuka"/>
    <n v="28"/>
    <x v="0"/>
    <x v="2"/>
    <x v="3"/>
    <n v="40.6"/>
    <n v="105"/>
    <n v="102"/>
    <n v="273"/>
    <n v="147"/>
    <x v="0"/>
    <x v="5"/>
    <x v="7"/>
    <x v="1"/>
    <x v="57"/>
    <n v="3"/>
    <n v="15"/>
    <x v="4"/>
    <x v="1"/>
    <x v="0"/>
    <x v="2"/>
    <x v="0"/>
    <n v="1"/>
    <n v="1"/>
    <n v="1"/>
    <n v="1"/>
    <n v="1"/>
    <n v="5"/>
    <x v="0"/>
  </r>
  <r>
    <x v="58"/>
    <s v="Ngozi Fashola"/>
    <n v="60"/>
    <x v="1"/>
    <x v="2"/>
    <x v="0"/>
    <n v="23.9"/>
    <n v="170"/>
    <n v="105"/>
    <n v="223"/>
    <n v="167"/>
    <x v="3"/>
    <x v="3"/>
    <x v="6"/>
    <x v="0"/>
    <x v="58"/>
    <n v="3"/>
    <n v="20"/>
    <x v="2"/>
    <x v="3"/>
    <x v="2"/>
    <x v="1"/>
    <x v="0"/>
    <n v="1"/>
    <n v="0"/>
    <n v="0"/>
    <n v="0"/>
    <n v="1"/>
    <n v="2"/>
    <x v="1"/>
  </r>
  <r>
    <x v="59"/>
    <s v="Fatima Lawal"/>
    <n v="45"/>
    <x v="1"/>
    <x v="6"/>
    <x v="0"/>
    <n v="27"/>
    <n v="112"/>
    <n v="80"/>
    <n v="249"/>
    <n v="150"/>
    <x v="0"/>
    <x v="4"/>
    <x v="4"/>
    <x v="0"/>
    <x v="29"/>
    <n v="0"/>
    <n v="13"/>
    <x v="2"/>
    <x v="2"/>
    <x v="1"/>
    <x v="3"/>
    <x v="0"/>
    <n v="1"/>
    <n v="0"/>
    <n v="1"/>
    <n v="0"/>
    <n v="1"/>
    <n v="3"/>
    <x v="1"/>
  </r>
  <r>
    <x v="60"/>
    <s v="Dayo Adeyemi"/>
    <n v="59"/>
    <x v="0"/>
    <x v="2"/>
    <x v="1"/>
    <n v="25.8"/>
    <n v="154"/>
    <n v="63"/>
    <n v="213"/>
    <n v="223"/>
    <x v="0"/>
    <x v="4"/>
    <x v="1"/>
    <x v="0"/>
    <x v="59"/>
    <n v="7"/>
    <n v="3"/>
    <x v="2"/>
    <x v="3"/>
    <x v="1"/>
    <x v="1"/>
    <x v="0"/>
    <n v="1"/>
    <n v="0"/>
    <n v="1"/>
    <n v="0"/>
    <n v="1"/>
    <n v="3"/>
    <x v="1"/>
  </r>
  <r>
    <x v="61"/>
    <s v="Zainab Nwosu"/>
    <n v="39"/>
    <x v="0"/>
    <x v="3"/>
    <x v="6"/>
    <n v="41.4"/>
    <n v="103"/>
    <n v="98"/>
    <n v="208"/>
    <n v="77"/>
    <x v="1"/>
    <x v="7"/>
    <x v="6"/>
    <x v="0"/>
    <x v="60"/>
    <n v="4"/>
    <n v="18"/>
    <x v="2"/>
    <x v="3"/>
    <x v="0"/>
    <x v="0"/>
    <x v="0"/>
    <n v="1"/>
    <n v="1"/>
    <n v="0"/>
    <n v="0"/>
    <n v="1"/>
    <n v="3"/>
    <x v="1"/>
  </r>
  <r>
    <x v="62"/>
    <s v="Ngozi Eze"/>
    <n v="62"/>
    <x v="1"/>
    <x v="2"/>
    <x v="6"/>
    <n v="22.4"/>
    <n v="153"/>
    <n v="89"/>
    <n v="227"/>
    <n v="110"/>
    <x v="1"/>
    <x v="7"/>
    <x v="8"/>
    <x v="0"/>
    <x v="61"/>
    <n v="19"/>
    <n v="1"/>
    <x v="2"/>
    <x v="1"/>
    <x v="2"/>
    <x v="1"/>
    <x v="0"/>
    <n v="1"/>
    <n v="0"/>
    <n v="0"/>
    <n v="0"/>
    <n v="1"/>
    <n v="2"/>
    <x v="1"/>
  </r>
  <r>
    <x v="63"/>
    <s v="Seun Dike"/>
    <n v="49"/>
    <x v="0"/>
    <x v="1"/>
    <x v="0"/>
    <n v="27.4"/>
    <n v="127"/>
    <n v="92"/>
    <n v="169"/>
    <n v="158"/>
    <x v="1"/>
    <x v="0"/>
    <x v="6"/>
    <x v="0"/>
    <x v="62"/>
    <n v="12"/>
    <n v="19"/>
    <x v="0"/>
    <x v="0"/>
    <x v="1"/>
    <x v="3"/>
    <x v="0"/>
    <n v="1"/>
    <n v="0"/>
    <n v="0"/>
    <n v="1"/>
    <n v="0"/>
    <n v="2"/>
    <x v="1"/>
  </r>
  <r>
    <x v="64"/>
    <s v="Fatima Igwe"/>
    <n v="35"/>
    <x v="1"/>
    <x v="4"/>
    <x v="4"/>
    <n v="25.2"/>
    <n v="100"/>
    <n v="91"/>
    <n v="250"/>
    <n v="114"/>
    <x v="1"/>
    <x v="1"/>
    <x v="2"/>
    <x v="0"/>
    <x v="63"/>
    <n v="1"/>
    <n v="13"/>
    <x v="0"/>
    <x v="3"/>
    <x v="1"/>
    <x v="0"/>
    <x v="0"/>
    <n v="1"/>
    <n v="0"/>
    <n v="0"/>
    <n v="1"/>
    <n v="1"/>
    <n v="3"/>
    <x v="1"/>
  </r>
  <r>
    <x v="65"/>
    <s v="Ngozi Fashola"/>
    <n v="58"/>
    <x v="1"/>
    <x v="1"/>
    <x v="1"/>
    <n v="34.700000000000003"/>
    <n v="153"/>
    <n v="78"/>
    <n v="169"/>
    <n v="173"/>
    <x v="0"/>
    <x v="4"/>
    <x v="4"/>
    <x v="0"/>
    <x v="64"/>
    <n v="3"/>
    <n v="7"/>
    <x v="0"/>
    <x v="3"/>
    <x v="0"/>
    <x v="1"/>
    <x v="0"/>
    <n v="1"/>
    <n v="1"/>
    <n v="1"/>
    <n v="1"/>
    <n v="0"/>
    <n v="4"/>
    <x v="0"/>
  </r>
  <r>
    <x v="66"/>
    <s v="Blessing Balogun"/>
    <n v="47"/>
    <x v="1"/>
    <x v="6"/>
    <x v="3"/>
    <n v="25.3"/>
    <n v="121"/>
    <n v="64"/>
    <n v="270"/>
    <n v="232"/>
    <x v="1"/>
    <x v="3"/>
    <x v="2"/>
    <x v="0"/>
    <x v="65"/>
    <n v="20"/>
    <n v="4"/>
    <x v="2"/>
    <x v="1"/>
    <x v="1"/>
    <x v="3"/>
    <x v="2"/>
    <n v="0"/>
    <n v="0"/>
    <n v="0"/>
    <n v="0"/>
    <n v="1"/>
    <n v="1"/>
    <x v="2"/>
  </r>
  <r>
    <x v="67"/>
    <s v="Amaka Olawale"/>
    <n v="34"/>
    <x v="1"/>
    <x v="1"/>
    <x v="0"/>
    <n v="36"/>
    <n v="109"/>
    <n v="71"/>
    <n v="266"/>
    <n v="188"/>
    <x v="3"/>
    <x v="3"/>
    <x v="9"/>
    <x v="0"/>
    <x v="66"/>
    <n v="2"/>
    <n v="15"/>
    <x v="4"/>
    <x v="1"/>
    <x v="0"/>
    <x v="0"/>
    <x v="1"/>
    <n v="0"/>
    <n v="1"/>
    <n v="0"/>
    <n v="1"/>
    <n v="1"/>
    <n v="3"/>
    <x v="1"/>
  </r>
  <r>
    <x v="68"/>
    <s v="Seun Onwuka"/>
    <n v="25"/>
    <x v="0"/>
    <x v="2"/>
    <x v="1"/>
    <n v="24.8"/>
    <n v="157"/>
    <n v="62"/>
    <n v="154"/>
    <n v="164"/>
    <x v="0"/>
    <x v="0"/>
    <x v="1"/>
    <x v="1"/>
    <x v="67"/>
    <n v="1"/>
    <n v="14"/>
    <x v="2"/>
    <x v="0"/>
    <x v="2"/>
    <x v="2"/>
    <x v="0"/>
    <n v="1"/>
    <n v="0"/>
    <n v="1"/>
    <n v="0"/>
    <n v="0"/>
    <n v="2"/>
    <x v="1"/>
  </r>
  <r>
    <x v="69"/>
    <s v="Kola Taiwo"/>
    <n v="52"/>
    <x v="1"/>
    <x v="5"/>
    <x v="0"/>
    <n v="19.600000000000001"/>
    <n v="143"/>
    <n v="105"/>
    <n v="161"/>
    <n v="199"/>
    <x v="1"/>
    <x v="3"/>
    <x v="0"/>
    <x v="0"/>
    <x v="68"/>
    <n v="19"/>
    <n v="5"/>
    <x v="2"/>
    <x v="2"/>
    <x v="2"/>
    <x v="1"/>
    <x v="0"/>
    <n v="1"/>
    <n v="0"/>
    <n v="0"/>
    <n v="0"/>
    <n v="0"/>
    <n v="1"/>
    <x v="2"/>
  </r>
  <r>
    <x v="70"/>
    <s v="Ada Obi"/>
    <n v="48"/>
    <x v="0"/>
    <x v="1"/>
    <x v="2"/>
    <n v="36.700000000000003"/>
    <n v="142"/>
    <n v="64"/>
    <n v="224"/>
    <n v="94"/>
    <x v="1"/>
    <x v="5"/>
    <x v="5"/>
    <x v="1"/>
    <x v="69"/>
    <n v="19"/>
    <n v="4"/>
    <x v="2"/>
    <x v="1"/>
    <x v="0"/>
    <x v="3"/>
    <x v="0"/>
    <n v="1"/>
    <n v="1"/>
    <n v="0"/>
    <n v="0"/>
    <n v="1"/>
    <n v="3"/>
    <x v="1"/>
  </r>
  <r>
    <x v="71"/>
    <s v="Nkem Eze"/>
    <n v="44"/>
    <x v="1"/>
    <x v="3"/>
    <x v="0"/>
    <n v="31.9"/>
    <n v="110"/>
    <n v="79"/>
    <n v="236"/>
    <n v="234"/>
    <x v="1"/>
    <x v="6"/>
    <x v="2"/>
    <x v="0"/>
    <x v="70"/>
    <n v="0"/>
    <n v="11"/>
    <x v="2"/>
    <x v="2"/>
    <x v="0"/>
    <x v="3"/>
    <x v="1"/>
    <n v="0"/>
    <n v="1"/>
    <n v="0"/>
    <n v="0"/>
    <n v="1"/>
    <n v="2"/>
    <x v="1"/>
  </r>
  <r>
    <x v="72"/>
    <s v="Fatima Fashola"/>
    <n v="53"/>
    <x v="0"/>
    <x v="0"/>
    <x v="0"/>
    <n v="20.9"/>
    <n v="137"/>
    <n v="66"/>
    <n v="269"/>
    <n v="208"/>
    <x v="1"/>
    <x v="3"/>
    <x v="8"/>
    <x v="1"/>
    <x v="71"/>
    <n v="5"/>
    <n v="19"/>
    <x v="3"/>
    <x v="3"/>
    <x v="2"/>
    <x v="1"/>
    <x v="0"/>
    <n v="1"/>
    <n v="0"/>
    <n v="0"/>
    <n v="1"/>
    <n v="1"/>
    <n v="3"/>
    <x v="1"/>
  </r>
  <r>
    <x v="73"/>
    <s v="Emeka Lawal"/>
    <n v="45"/>
    <x v="0"/>
    <x v="5"/>
    <x v="5"/>
    <n v="24.1"/>
    <n v="157"/>
    <n v="74"/>
    <n v="276"/>
    <n v="131"/>
    <x v="0"/>
    <x v="5"/>
    <x v="0"/>
    <x v="0"/>
    <x v="72"/>
    <n v="9"/>
    <n v="12"/>
    <x v="1"/>
    <x v="3"/>
    <x v="2"/>
    <x v="3"/>
    <x v="0"/>
    <n v="1"/>
    <n v="0"/>
    <n v="1"/>
    <n v="1"/>
    <n v="1"/>
    <n v="4"/>
    <x v="0"/>
  </r>
  <r>
    <x v="74"/>
    <s v="Chioma Aliyu"/>
    <n v="34"/>
    <x v="1"/>
    <x v="4"/>
    <x v="2"/>
    <n v="33"/>
    <n v="147"/>
    <n v="95"/>
    <n v="166"/>
    <n v="202"/>
    <x v="1"/>
    <x v="7"/>
    <x v="1"/>
    <x v="1"/>
    <x v="73"/>
    <n v="4"/>
    <n v="13"/>
    <x v="4"/>
    <x v="0"/>
    <x v="0"/>
    <x v="0"/>
    <x v="0"/>
    <n v="1"/>
    <n v="1"/>
    <n v="0"/>
    <n v="1"/>
    <n v="0"/>
    <n v="3"/>
    <x v="1"/>
  </r>
  <r>
    <x v="75"/>
    <s v="Ayo Yakubu"/>
    <n v="23"/>
    <x v="1"/>
    <x v="5"/>
    <x v="1"/>
    <n v="29.6"/>
    <n v="130"/>
    <n v="84"/>
    <n v="160"/>
    <n v="165"/>
    <x v="2"/>
    <x v="3"/>
    <x v="8"/>
    <x v="0"/>
    <x v="74"/>
    <n v="1"/>
    <n v="9"/>
    <x v="4"/>
    <x v="2"/>
    <x v="1"/>
    <x v="2"/>
    <x v="0"/>
    <n v="1"/>
    <n v="0"/>
    <n v="0"/>
    <n v="1"/>
    <n v="0"/>
    <n v="2"/>
    <x v="1"/>
  </r>
  <r>
    <x v="76"/>
    <s v="Ibrahim Dike"/>
    <n v="61"/>
    <x v="1"/>
    <x v="2"/>
    <x v="2"/>
    <n v="23.4"/>
    <n v="119"/>
    <n v="95"/>
    <n v="275"/>
    <n v="178"/>
    <x v="1"/>
    <x v="7"/>
    <x v="0"/>
    <x v="1"/>
    <x v="75"/>
    <n v="13"/>
    <n v="20"/>
    <x v="2"/>
    <x v="3"/>
    <x v="2"/>
    <x v="1"/>
    <x v="0"/>
    <n v="1"/>
    <n v="0"/>
    <n v="0"/>
    <n v="0"/>
    <n v="1"/>
    <n v="2"/>
    <x v="1"/>
  </r>
  <r>
    <x v="77"/>
    <s v="Ngozi Nwosu"/>
    <n v="53"/>
    <x v="1"/>
    <x v="2"/>
    <x v="5"/>
    <n v="23"/>
    <n v="118"/>
    <n v="78"/>
    <n v="249"/>
    <n v="70"/>
    <x v="3"/>
    <x v="4"/>
    <x v="0"/>
    <x v="1"/>
    <x v="76"/>
    <n v="2"/>
    <n v="16"/>
    <x v="2"/>
    <x v="1"/>
    <x v="2"/>
    <x v="1"/>
    <x v="1"/>
    <n v="0"/>
    <n v="0"/>
    <n v="0"/>
    <n v="0"/>
    <n v="1"/>
    <n v="1"/>
    <x v="2"/>
  </r>
  <r>
    <x v="78"/>
    <s v="Blessing Hassan"/>
    <n v="54"/>
    <x v="1"/>
    <x v="3"/>
    <x v="0"/>
    <n v="18.100000000000001"/>
    <n v="149"/>
    <n v="83"/>
    <n v="204"/>
    <n v="74"/>
    <x v="1"/>
    <x v="0"/>
    <x v="8"/>
    <x v="0"/>
    <x v="77"/>
    <n v="10"/>
    <n v="4"/>
    <x v="0"/>
    <x v="2"/>
    <x v="3"/>
    <x v="1"/>
    <x v="0"/>
    <n v="1"/>
    <n v="0"/>
    <n v="0"/>
    <n v="1"/>
    <n v="1"/>
    <n v="3"/>
    <x v="1"/>
  </r>
  <r>
    <x v="79"/>
    <s v="Dayo Fashola"/>
    <n v="33"/>
    <x v="0"/>
    <x v="5"/>
    <x v="0"/>
    <n v="37.299999999999997"/>
    <n v="134"/>
    <n v="105"/>
    <n v="257"/>
    <n v="79"/>
    <x v="0"/>
    <x v="2"/>
    <x v="7"/>
    <x v="0"/>
    <x v="78"/>
    <n v="16"/>
    <n v="12"/>
    <x v="1"/>
    <x v="3"/>
    <x v="0"/>
    <x v="0"/>
    <x v="0"/>
    <n v="1"/>
    <n v="1"/>
    <n v="1"/>
    <n v="1"/>
    <n v="1"/>
    <n v="5"/>
    <x v="0"/>
  </r>
  <r>
    <x v="80"/>
    <s v="Seun Adeyemi"/>
    <n v="34"/>
    <x v="1"/>
    <x v="6"/>
    <x v="2"/>
    <n v="38.6"/>
    <n v="142"/>
    <n v="77"/>
    <n v="171"/>
    <n v="164"/>
    <x v="1"/>
    <x v="1"/>
    <x v="9"/>
    <x v="1"/>
    <x v="79"/>
    <n v="15"/>
    <n v="11"/>
    <x v="1"/>
    <x v="1"/>
    <x v="0"/>
    <x v="0"/>
    <x v="0"/>
    <n v="1"/>
    <n v="1"/>
    <n v="0"/>
    <n v="1"/>
    <n v="0"/>
    <n v="3"/>
    <x v="1"/>
  </r>
  <r>
    <x v="81"/>
    <s v="Ngozi Lawal"/>
    <n v="27"/>
    <x v="1"/>
    <x v="1"/>
    <x v="0"/>
    <n v="30.6"/>
    <n v="141"/>
    <n v="66"/>
    <n v="160"/>
    <n v="153"/>
    <x v="0"/>
    <x v="7"/>
    <x v="9"/>
    <x v="1"/>
    <x v="80"/>
    <n v="11"/>
    <n v="14"/>
    <x v="0"/>
    <x v="2"/>
    <x v="0"/>
    <x v="2"/>
    <x v="0"/>
    <n v="1"/>
    <n v="1"/>
    <n v="1"/>
    <n v="1"/>
    <n v="0"/>
    <n v="4"/>
    <x v="0"/>
  </r>
  <r>
    <x v="82"/>
    <s v="Femi Lawal"/>
    <n v="39"/>
    <x v="1"/>
    <x v="2"/>
    <x v="1"/>
    <n v="26.1"/>
    <n v="120"/>
    <n v="61"/>
    <n v="176"/>
    <n v="225"/>
    <x v="0"/>
    <x v="3"/>
    <x v="4"/>
    <x v="0"/>
    <x v="81"/>
    <n v="11"/>
    <n v="12"/>
    <x v="2"/>
    <x v="0"/>
    <x v="1"/>
    <x v="0"/>
    <x v="2"/>
    <n v="0"/>
    <n v="0"/>
    <n v="1"/>
    <n v="0"/>
    <n v="0"/>
    <n v="1"/>
    <x v="2"/>
  </r>
  <r>
    <x v="83"/>
    <s v="Femi Eze"/>
    <n v="50"/>
    <x v="0"/>
    <x v="6"/>
    <x v="0"/>
    <n v="36.1"/>
    <n v="117"/>
    <n v="93"/>
    <n v="233"/>
    <n v="171"/>
    <x v="1"/>
    <x v="5"/>
    <x v="6"/>
    <x v="0"/>
    <x v="82"/>
    <n v="5"/>
    <n v="15"/>
    <x v="1"/>
    <x v="3"/>
    <x v="0"/>
    <x v="3"/>
    <x v="0"/>
    <n v="1"/>
    <n v="1"/>
    <n v="0"/>
    <n v="1"/>
    <n v="1"/>
    <n v="4"/>
    <x v="0"/>
  </r>
  <r>
    <x v="84"/>
    <s v="Dayo Nwosu"/>
    <n v="38"/>
    <x v="1"/>
    <x v="5"/>
    <x v="3"/>
    <n v="41.9"/>
    <n v="136"/>
    <n v="104"/>
    <n v="265"/>
    <n v="121"/>
    <x v="1"/>
    <x v="6"/>
    <x v="1"/>
    <x v="0"/>
    <x v="80"/>
    <n v="2"/>
    <n v="10"/>
    <x v="2"/>
    <x v="2"/>
    <x v="0"/>
    <x v="0"/>
    <x v="0"/>
    <n v="1"/>
    <n v="1"/>
    <n v="0"/>
    <n v="0"/>
    <n v="1"/>
    <n v="3"/>
    <x v="1"/>
  </r>
  <r>
    <x v="85"/>
    <s v="Ngozi Hassan"/>
    <n v="56"/>
    <x v="1"/>
    <x v="4"/>
    <x v="0"/>
    <n v="34.799999999999997"/>
    <n v="122"/>
    <n v="83"/>
    <n v="270"/>
    <n v="127"/>
    <x v="1"/>
    <x v="2"/>
    <x v="4"/>
    <x v="0"/>
    <x v="83"/>
    <n v="17"/>
    <n v="18"/>
    <x v="2"/>
    <x v="3"/>
    <x v="0"/>
    <x v="1"/>
    <x v="0"/>
    <n v="1"/>
    <n v="1"/>
    <n v="0"/>
    <n v="0"/>
    <n v="1"/>
    <n v="3"/>
    <x v="1"/>
  </r>
  <r>
    <x v="86"/>
    <s v="Dayo Eze"/>
    <n v="61"/>
    <x v="0"/>
    <x v="2"/>
    <x v="4"/>
    <n v="27"/>
    <n v="161"/>
    <n v="93"/>
    <n v="245"/>
    <n v="174"/>
    <x v="3"/>
    <x v="0"/>
    <x v="4"/>
    <x v="0"/>
    <x v="84"/>
    <n v="16"/>
    <n v="11"/>
    <x v="3"/>
    <x v="3"/>
    <x v="1"/>
    <x v="1"/>
    <x v="0"/>
    <n v="1"/>
    <n v="0"/>
    <n v="0"/>
    <n v="1"/>
    <n v="1"/>
    <n v="3"/>
    <x v="1"/>
  </r>
  <r>
    <x v="87"/>
    <s v="Nkem Aliyu"/>
    <n v="30"/>
    <x v="1"/>
    <x v="2"/>
    <x v="2"/>
    <n v="37.799999999999997"/>
    <n v="166"/>
    <n v="69"/>
    <n v="217"/>
    <n v="112"/>
    <x v="1"/>
    <x v="4"/>
    <x v="0"/>
    <x v="0"/>
    <x v="85"/>
    <n v="6"/>
    <n v="20"/>
    <x v="1"/>
    <x v="1"/>
    <x v="0"/>
    <x v="2"/>
    <x v="0"/>
    <n v="1"/>
    <n v="1"/>
    <n v="0"/>
    <n v="1"/>
    <n v="1"/>
    <n v="4"/>
    <x v="0"/>
  </r>
  <r>
    <x v="88"/>
    <s v="Amaka Igwe"/>
    <n v="61"/>
    <x v="0"/>
    <x v="2"/>
    <x v="0"/>
    <n v="31.8"/>
    <n v="119"/>
    <n v="70"/>
    <n v="226"/>
    <n v="214"/>
    <x v="0"/>
    <x v="3"/>
    <x v="1"/>
    <x v="1"/>
    <x v="86"/>
    <n v="18"/>
    <n v="13"/>
    <x v="2"/>
    <x v="0"/>
    <x v="0"/>
    <x v="1"/>
    <x v="1"/>
    <n v="0"/>
    <n v="1"/>
    <n v="1"/>
    <n v="0"/>
    <n v="1"/>
    <n v="3"/>
    <x v="1"/>
  </r>
  <r>
    <x v="89"/>
    <s v="Ibrahim Hassan"/>
    <n v="40"/>
    <x v="1"/>
    <x v="5"/>
    <x v="3"/>
    <n v="32"/>
    <n v="151"/>
    <n v="79"/>
    <n v="256"/>
    <n v="88"/>
    <x v="0"/>
    <x v="6"/>
    <x v="10"/>
    <x v="1"/>
    <x v="87"/>
    <n v="19"/>
    <n v="4"/>
    <x v="2"/>
    <x v="2"/>
    <x v="0"/>
    <x v="0"/>
    <x v="0"/>
    <n v="1"/>
    <n v="1"/>
    <n v="1"/>
    <n v="0"/>
    <n v="1"/>
    <n v="4"/>
    <x v="0"/>
  </r>
  <r>
    <x v="90"/>
    <s v="Zainab Obi"/>
    <n v="30"/>
    <x v="0"/>
    <x v="2"/>
    <x v="6"/>
    <n v="19.7"/>
    <n v="130"/>
    <n v="89"/>
    <n v="171"/>
    <n v="138"/>
    <x v="0"/>
    <x v="2"/>
    <x v="4"/>
    <x v="0"/>
    <x v="88"/>
    <n v="19"/>
    <n v="13"/>
    <x v="2"/>
    <x v="2"/>
    <x v="2"/>
    <x v="2"/>
    <x v="0"/>
    <n v="1"/>
    <n v="0"/>
    <n v="1"/>
    <n v="0"/>
    <n v="0"/>
    <n v="2"/>
    <x v="1"/>
  </r>
  <r>
    <x v="91"/>
    <s v="Kola Onwuka"/>
    <n v="42"/>
    <x v="0"/>
    <x v="1"/>
    <x v="0"/>
    <n v="41.9"/>
    <n v="159"/>
    <n v="91"/>
    <n v="218"/>
    <n v="197"/>
    <x v="0"/>
    <x v="0"/>
    <x v="5"/>
    <x v="0"/>
    <x v="89"/>
    <n v="11"/>
    <n v="1"/>
    <x v="0"/>
    <x v="1"/>
    <x v="0"/>
    <x v="3"/>
    <x v="0"/>
    <n v="1"/>
    <n v="1"/>
    <n v="1"/>
    <n v="1"/>
    <n v="1"/>
    <n v="5"/>
    <x v="0"/>
  </r>
  <r>
    <x v="92"/>
    <s v="Ibrahim Taiwo"/>
    <n v="52"/>
    <x v="1"/>
    <x v="2"/>
    <x v="2"/>
    <n v="38.200000000000003"/>
    <n v="155"/>
    <n v="68"/>
    <n v="207"/>
    <n v="163"/>
    <x v="1"/>
    <x v="4"/>
    <x v="7"/>
    <x v="1"/>
    <x v="52"/>
    <n v="6"/>
    <n v="11"/>
    <x v="1"/>
    <x v="1"/>
    <x v="0"/>
    <x v="1"/>
    <x v="0"/>
    <n v="1"/>
    <n v="1"/>
    <n v="0"/>
    <n v="1"/>
    <n v="1"/>
    <n v="4"/>
    <x v="0"/>
  </r>
  <r>
    <x v="93"/>
    <s v="Ngozi Obi"/>
    <n v="54"/>
    <x v="0"/>
    <x v="2"/>
    <x v="4"/>
    <n v="37.6"/>
    <n v="115"/>
    <n v="68"/>
    <n v="164"/>
    <n v="170"/>
    <x v="1"/>
    <x v="4"/>
    <x v="2"/>
    <x v="0"/>
    <x v="90"/>
    <n v="16"/>
    <n v="12"/>
    <x v="1"/>
    <x v="0"/>
    <x v="0"/>
    <x v="1"/>
    <x v="1"/>
    <n v="0"/>
    <n v="1"/>
    <n v="0"/>
    <n v="1"/>
    <n v="0"/>
    <n v="2"/>
    <x v="1"/>
  </r>
  <r>
    <x v="94"/>
    <s v="Emeka Adeyemi"/>
    <n v="30"/>
    <x v="0"/>
    <x v="5"/>
    <x v="6"/>
    <n v="28.4"/>
    <n v="165"/>
    <n v="68"/>
    <n v="223"/>
    <n v="226"/>
    <x v="1"/>
    <x v="6"/>
    <x v="5"/>
    <x v="1"/>
    <x v="91"/>
    <n v="16"/>
    <n v="17"/>
    <x v="4"/>
    <x v="1"/>
    <x v="1"/>
    <x v="2"/>
    <x v="0"/>
    <n v="1"/>
    <n v="0"/>
    <n v="0"/>
    <n v="1"/>
    <n v="1"/>
    <n v="3"/>
    <x v="1"/>
  </r>
  <r>
    <x v="95"/>
    <s v="Ibrahim Okafor"/>
    <n v="45"/>
    <x v="0"/>
    <x v="2"/>
    <x v="1"/>
    <n v="31.6"/>
    <n v="103"/>
    <n v="98"/>
    <n v="261"/>
    <n v="137"/>
    <x v="3"/>
    <x v="3"/>
    <x v="0"/>
    <x v="1"/>
    <x v="92"/>
    <n v="20"/>
    <n v="19"/>
    <x v="0"/>
    <x v="2"/>
    <x v="0"/>
    <x v="3"/>
    <x v="0"/>
    <n v="1"/>
    <n v="1"/>
    <n v="0"/>
    <n v="1"/>
    <n v="1"/>
    <n v="4"/>
    <x v="0"/>
  </r>
  <r>
    <x v="96"/>
    <s v="Uche Adeyemi"/>
    <n v="58"/>
    <x v="0"/>
    <x v="0"/>
    <x v="2"/>
    <n v="28"/>
    <n v="153"/>
    <n v="69"/>
    <n v="245"/>
    <n v="246"/>
    <x v="2"/>
    <x v="1"/>
    <x v="2"/>
    <x v="0"/>
    <x v="93"/>
    <n v="16"/>
    <n v="6"/>
    <x v="1"/>
    <x v="2"/>
    <x v="1"/>
    <x v="1"/>
    <x v="0"/>
    <n v="1"/>
    <n v="0"/>
    <n v="0"/>
    <n v="1"/>
    <n v="1"/>
    <n v="3"/>
    <x v="1"/>
  </r>
  <r>
    <x v="97"/>
    <s v="Ibrahim Mbeki"/>
    <n v="46"/>
    <x v="0"/>
    <x v="1"/>
    <x v="0"/>
    <n v="39.799999999999997"/>
    <n v="143"/>
    <n v="94"/>
    <n v="230"/>
    <n v="243"/>
    <x v="0"/>
    <x v="3"/>
    <x v="9"/>
    <x v="0"/>
    <x v="94"/>
    <n v="9"/>
    <n v="7"/>
    <x v="2"/>
    <x v="1"/>
    <x v="0"/>
    <x v="3"/>
    <x v="0"/>
    <n v="1"/>
    <n v="1"/>
    <n v="1"/>
    <n v="0"/>
    <n v="1"/>
    <n v="4"/>
    <x v="0"/>
  </r>
  <r>
    <x v="98"/>
    <s v="Fatima Sule"/>
    <n v="42"/>
    <x v="0"/>
    <x v="6"/>
    <x v="6"/>
    <n v="40.299999999999997"/>
    <n v="135"/>
    <n v="78"/>
    <n v="171"/>
    <n v="216"/>
    <x v="1"/>
    <x v="1"/>
    <x v="5"/>
    <x v="0"/>
    <x v="95"/>
    <n v="9"/>
    <n v="2"/>
    <x v="2"/>
    <x v="3"/>
    <x v="0"/>
    <x v="3"/>
    <x v="0"/>
    <n v="1"/>
    <n v="1"/>
    <n v="0"/>
    <n v="0"/>
    <n v="0"/>
    <n v="2"/>
    <x v="1"/>
  </r>
  <r>
    <x v="99"/>
    <s v="Seun Sule"/>
    <n v="35"/>
    <x v="0"/>
    <x v="2"/>
    <x v="4"/>
    <n v="40.299999999999997"/>
    <n v="134"/>
    <n v="68"/>
    <n v="167"/>
    <n v="227"/>
    <x v="3"/>
    <x v="2"/>
    <x v="0"/>
    <x v="1"/>
    <x v="96"/>
    <n v="1"/>
    <n v="3"/>
    <x v="0"/>
    <x v="2"/>
    <x v="0"/>
    <x v="0"/>
    <x v="0"/>
    <n v="1"/>
    <n v="1"/>
    <n v="0"/>
    <n v="1"/>
    <n v="0"/>
    <n v="3"/>
    <x v="1"/>
  </r>
  <r>
    <x v="100"/>
    <s v="Ibrahim Nwosu"/>
    <n v="30"/>
    <x v="1"/>
    <x v="2"/>
    <x v="0"/>
    <n v="27.2"/>
    <n v="160"/>
    <n v="90"/>
    <n v="191"/>
    <n v="143"/>
    <x v="1"/>
    <x v="7"/>
    <x v="7"/>
    <x v="0"/>
    <x v="97"/>
    <n v="1"/>
    <n v="5"/>
    <x v="0"/>
    <x v="2"/>
    <x v="1"/>
    <x v="2"/>
    <x v="0"/>
    <n v="1"/>
    <n v="0"/>
    <n v="0"/>
    <n v="1"/>
    <n v="0"/>
    <n v="2"/>
    <x v="1"/>
  </r>
  <r>
    <x v="101"/>
    <s v="Emeka Obi"/>
    <n v="53"/>
    <x v="1"/>
    <x v="4"/>
    <x v="2"/>
    <n v="17.2"/>
    <n v="113"/>
    <n v="81"/>
    <n v="212"/>
    <n v="186"/>
    <x v="1"/>
    <x v="3"/>
    <x v="9"/>
    <x v="1"/>
    <x v="98"/>
    <n v="3"/>
    <n v="10"/>
    <x v="3"/>
    <x v="3"/>
    <x v="3"/>
    <x v="1"/>
    <x v="0"/>
    <n v="1"/>
    <n v="0"/>
    <n v="0"/>
    <n v="1"/>
    <n v="1"/>
    <n v="3"/>
    <x v="1"/>
  </r>
  <r>
    <x v="102"/>
    <s v="Seun Aliyu"/>
    <n v="22"/>
    <x v="0"/>
    <x v="4"/>
    <x v="5"/>
    <n v="33.9"/>
    <n v="124"/>
    <n v="71"/>
    <n v="243"/>
    <n v="179"/>
    <x v="1"/>
    <x v="4"/>
    <x v="1"/>
    <x v="1"/>
    <x v="35"/>
    <n v="15"/>
    <n v="10"/>
    <x v="2"/>
    <x v="0"/>
    <x v="0"/>
    <x v="2"/>
    <x v="2"/>
    <n v="0"/>
    <n v="1"/>
    <n v="0"/>
    <n v="0"/>
    <n v="1"/>
    <n v="2"/>
    <x v="1"/>
  </r>
  <r>
    <x v="103"/>
    <s v="Seun Obi"/>
    <n v="37"/>
    <x v="0"/>
    <x v="4"/>
    <x v="2"/>
    <n v="24.5"/>
    <n v="101"/>
    <n v="76"/>
    <n v="232"/>
    <n v="247"/>
    <x v="2"/>
    <x v="3"/>
    <x v="1"/>
    <x v="0"/>
    <x v="99"/>
    <n v="16"/>
    <n v="9"/>
    <x v="4"/>
    <x v="1"/>
    <x v="2"/>
    <x v="0"/>
    <x v="1"/>
    <n v="0"/>
    <n v="0"/>
    <n v="0"/>
    <n v="1"/>
    <n v="1"/>
    <n v="2"/>
    <x v="1"/>
  </r>
  <r>
    <x v="104"/>
    <s v="Zainab Taiwo"/>
    <n v="36"/>
    <x v="0"/>
    <x v="1"/>
    <x v="0"/>
    <n v="20.8"/>
    <n v="147"/>
    <n v="86"/>
    <n v="280"/>
    <n v="190"/>
    <x v="1"/>
    <x v="5"/>
    <x v="0"/>
    <x v="0"/>
    <x v="100"/>
    <n v="16"/>
    <n v="11"/>
    <x v="4"/>
    <x v="1"/>
    <x v="2"/>
    <x v="0"/>
    <x v="0"/>
    <n v="1"/>
    <n v="0"/>
    <n v="0"/>
    <n v="1"/>
    <n v="1"/>
    <n v="3"/>
    <x v="1"/>
  </r>
  <r>
    <x v="105"/>
    <s v="Emeka Hassan"/>
    <n v="54"/>
    <x v="0"/>
    <x v="1"/>
    <x v="6"/>
    <n v="20.7"/>
    <n v="141"/>
    <n v="93"/>
    <n v="253"/>
    <n v="99"/>
    <x v="2"/>
    <x v="3"/>
    <x v="9"/>
    <x v="0"/>
    <x v="101"/>
    <n v="4"/>
    <n v="16"/>
    <x v="0"/>
    <x v="3"/>
    <x v="2"/>
    <x v="1"/>
    <x v="0"/>
    <n v="1"/>
    <n v="0"/>
    <n v="0"/>
    <n v="1"/>
    <n v="1"/>
    <n v="3"/>
    <x v="1"/>
  </r>
  <r>
    <x v="106"/>
    <s v="Nkem Adeyemi"/>
    <n v="57"/>
    <x v="0"/>
    <x v="4"/>
    <x v="2"/>
    <n v="26.9"/>
    <n v="100"/>
    <n v="73"/>
    <n v="158"/>
    <n v="81"/>
    <x v="1"/>
    <x v="4"/>
    <x v="1"/>
    <x v="1"/>
    <x v="102"/>
    <n v="9"/>
    <n v="13"/>
    <x v="3"/>
    <x v="2"/>
    <x v="1"/>
    <x v="1"/>
    <x v="1"/>
    <n v="0"/>
    <n v="0"/>
    <n v="0"/>
    <n v="1"/>
    <n v="0"/>
    <n v="1"/>
    <x v="2"/>
  </r>
  <r>
    <x v="107"/>
    <s v="Chioma Yakubu"/>
    <n v="46"/>
    <x v="0"/>
    <x v="3"/>
    <x v="1"/>
    <n v="19"/>
    <n v="169"/>
    <n v="68"/>
    <n v="229"/>
    <n v="100"/>
    <x v="1"/>
    <x v="3"/>
    <x v="5"/>
    <x v="1"/>
    <x v="103"/>
    <n v="0"/>
    <n v="9"/>
    <x v="4"/>
    <x v="3"/>
    <x v="2"/>
    <x v="3"/>
    <x v="0"/>
    <n v="1"/>
    <n v="0"/>
    <n v="0"/>
    <n v="1"/>
    <n v="1"/>
    <n v="3"/>
    <x v="1"/>
  </r>
  <r>
    <x v="108"/>
    <s v="Chioma Hassan"/>
    <n v="46"/>
    <x v="0"/>
    <x v="0"/>
    <x v="0"/>
    <n v="25.7"/>
    <n v="135"/>
    <n v="72"/>
    <n v="168"/>
    <n v="78"/>
    <x v="1"/>
    <x v="3"/>
    <x v="7"/>
    <x v="0"/>
    <x v="104"/>
    <n v="19"/>
    <n v="1"/>
    <x v="4"/>
    <x v="0"/>
    <x v="1"/>
    <x v="3"/>
    <x v="0"/>
    <n v="1"/>
    <n v="0"/>
    <n v="0"/>
    <n v="1"/>
    <n v="0"/>
    <n v="2"/>
    <x v="1"/>
  </r>
  <r>
    <x v="109"/>
    <s v="Uche Adeyemi"/>
    <n v="47"/>
    <x v="0"/>
    <x v="0"/>
    <x v="6"/>
    <n v="22.4"/>
    <n v="107"/>
    <n v="68"/>
    <n v="213"/>
    <n v="144"/>
    <x v="2"/>
    <x v="3"/>
    <x v="8"/>
    <x v="0"/>
    <x v="105"/>
    <n v="16"/>
    <n v="7"/>
    <x v="0"/>
    <x v="1"/>
    <x v="2"/>
    <x v="3"/>
    <x v="1"/>
    <n v="0"/>
    <n v="0"/>
    <n v="0"/>
    <n v="1"/>
    <n v="1"/>
    <n v="2"/>
    <x v="1"/>
  </r>
  <r>
    <x v="110"/>
    <s v="Seun Adeyemi"/>
    <n v="57"/>
    <x v="1"/>
    <x v="3"/>
    <x v="6"/>
    <n v="29.4"/>
    <n v="144"/>
    <n v="101"/>
    <n v="237"/>
    <n v="204"/>
    <x v="1"/>
    <x v="1"/>
    <x v="5"/>
    <x v="1"/>
    <x v="106"/>
    <n v="17"/>
    <n v="15"/>
    <x v="2"/>
    <x v="0"/>
    <x v="1"/>
    <x v="1"/>
    <x v="0"/>
    <n v="1"/>
    <n v="0"/>
    <n v="0"/>
    <n v="0"/>
    <n v="1"/>
    <n v="2"/>
    <x v="1"/>
  </r>
  <r>
    <x v="111"/>
    <s v="Ada Eze"/>
    <n v="51"/>
    <x v="1"/>
    <x v="2"/>
    <x v="1"/>
    <n v="41.2"/>
    <n v="167"/>
    <n v="68"/>
    <n v="239"/>
    <n v="132"/>
    <x v="0"/>
    <x v="2"/>
    <x v="8"/>
    <x v="0"/>
    <x v="107"/>
    <n v="17"/>
    <n v="6"/>
    <x v="0"/>
    <x v="1"/>
    <x v="0"/>
    <x v="1"/>
    <x v="0"/>
    <n v="1"/>
    <n v="1"/>
    <n v="1"/>
    <n v="1"/>
    <n v="1"/>
    <n v="5"/>
    <x v="0"/>
  </r>
  <r>
    <x v="112"/>
    <s v="Musa Taiwo"/>
    <n v="60"/>
    <x v="1"/>
    <x v="2"/>
    <x v="3"/>
    <n v="37.1"/>
    <n v="127"/>
    <n v="90"/>
    <n v="193"/>
    <n v="155"/>
    <x v="0"/>
    <x v="3"/>
    <x v="0"/>
    <x v="0"/>
    <x v="108"/>
    <n v="15"/>
    <n v="7"/>
    <x v="2"/>
    <x v="0"/>
    <x v="0"/>
    <x v="1"/>
    <x v="0"/>
    <n v="1"/>
    <n v="1"/>
    <n v="1"/>
    <n v="0"/>
    <n v="0"/>
    <n v="3"/>
    <x v="1"/>
  </r>
  <r>
    <x v="113"/>
    <s v="Musa Abubakar"/>
    <n v="57"/>
    <x v="0"/>
    <x v="4"/>
    <x v="1"/>
    <n v="28.7"/>
    <n v="145"/>
    <n v="79"/>
    <n v="206"/>
    <n v="162"/>
    <x v="1"/>
    <x v="5"/>
    <x v="9"/>
    <x v="0"/>
    <x v="109"/>
    <n v="11"/>
    <n v="10"/>
    <x v="0"/>
    <x v="0"/>
    <x v="1"/>
    <x v="1"/>
    <x v="0"/>
    <n v="1"/>
    <n v="0"/>
    <n v="0"/>
    <n v="1"/>
    <n v="1"/>
    <n v="3"/>
    <x v="1"/>
  </r>
  <r>
    <x v="114"/>
    <s v="Nkem Abubakar"/>
    <n v="31"/>
    <x v="1"/>
    <x v="4"/>
    <x v="6"/>
    <n v="40.4"/>
    <n v="153"/>
    <n v="78"/>
    <n v="179"/>
    <n v="120"/>
    <x v="1"/>
    <x v="2"/>
    <x v="5"/>
    <x v="0"/>
    <x v="110"/>
    <n v="10"/>
    <n v="8"/>
    <x v="4"/>
    <x v="3"/>
    <x v="0"/>
    <x v="0"/>
    <x v="0"/>
    <n v="1"/>
    <n v="1"/>
    <n v="0"/>
    <n v="1"/>
    <n v="0"/>
    <n v="3"/>
    <x v="1"/>
  </r>
  <r>
    <x v="115"/>
    <s v="Ayo Aliyu"/>
    <n v="44"/>
    <x v="1"/>
    <x v="1"/>
    <x v="6"/>
    <n v="29.2"/>
    <n v="169"/>
    <n v="101"/>
    <n v="155"/>
    <n v="204"/>
    <x v="0"/>
    <x v="0"/>
    <x v="7"/>
    <x v="1"/>
    <x v="111"/>
    <n v="20"/>
    <n v="7"/>
    <x v="4"/>
    <x v="2"/>
    <x v="1"/>
    <x v="3"/>
    <x v="0"/>
    <n v="1"/>
    <n v="0"/>
    <n v="1"/>
    <n v="1"/>
    <n v="0"/>
    <n v="3"/>
    <x v="1"/>
  </r>
  <r>
    <x v="116"/>
    <s v="Chukwu Okonkwo"/>
    <n v="54"/>
    <x v="0"/>
    <x v="6"/>
    <x v="2"/>
    <n v="32.4"/>
    <n v="161"/>
    <n v="102"/>
    <n v="264"/>
    <n v="74"/>
    <x v="0"/>
    <x v="3"/>
    <x v="2"/>
    <x v="1"/>
    <x v="112"/>
    <n v="8"/>
    <n v="17"/>
    <x v="2"/>
    <x v="0"/>
    <x v="0"/>
    <x v="1"/>
    <x v="0"/>
    <n v="1"/>
    <n v="1"/>
    <n v="1"/>
    <n v="0"/>
    <n v="1"/>
    <n v="4"/>
    <x v="0"/>
  </r>
  <r>
    <x v="117"/>
    <s v="Blessing Lawal"/>
    <n v="33"/>
    <x v="0"/>
    <x v="2"/>
    <x v="6"/>
    <n v="20.7"/>
    <n v="124"/>
    <n v="99"/>
    <n v="274"/>
    <n v="134"/>
    <x v="1"/>
    <x v="7"/>
    <x v="5"/>
    <x v="0"/>
    <x v="113"/>
    <n v="18"/>
    <n v="7"/>
    <x v="2"/>
    <x v="1"/>
    <x v="2"/>
    <x v="0"/>
    <x v="0"/>
    <n v="1"/>
    <n v="0"/>
    <n v="0"/>
    <n v="0"/>
    <n v="1"/>
    <n v="2"/>
    <x v="1"/>
  </r>
  <r>
    <x v="118"/>
    <s v="Ngozi Adeyemi"/>
    <n v="27"/>
    <x v="1"/>
    <x v="3"/>
    <x v="1"/>
    <n v="30.8"/>
    <n v="107"/>
    <n v="100"/>
    <n v="142"/>
    <n v="249"/>
    <x v="1"/>
    <x v="0"/>
    <x v="9"/>
    <x v="1"/>
    <x v="114"/>
    <n v="3"/>
    <n v="16"/>
    <x v="0"/>
    <x v="0"/>
    <x v="0"/>
    <x v="2"/>
    <x v="0"/>
    <n v="1"/>
    <n v="1"/>
    <n v="0"/>
    <n v="1"/>
    <n v="0"/>
    <n v="3"/>
    <x v="1"/>
  </r>
  <r>
    <x v="119"/>
    <s v="Fatima Onwuka"/>
    <n v="20"/>
    <x v="1"/>
    <x v="2"/>
    <x v="4"/>
    <n v="39.5"/>
    <n v="134"/>
    <n v="71"/>
    <n v="220"/>
    <n v="74"/>
    <x v="2"/>
    <x v="3"/>
    <x v="4"/>
    <x v="1"/>
    <x v="87"/>
    <n v="0"/>
    <n v="18"/>
    <x v="2"/>
    <x v="3"/>
    <x v="0"/>
    <x v="2"/>
    <x v="0"/>
    <n v="1"/>
    <n v="1"/>
    <n v="0"/>
    <n v="0"/>
    <n v="1"/>
    <n v="3"/>
    <x v="1"/>
  </r>
  <r>
    <x v="120"/>
    <s v="Kola Obi"/>
    <n v="30"/>
    <x v="0"/>
    <x v="2"/>
    <x v="2"/>
    <n v="18.3"/>
    <n v="155"/>
    <n v="74"/>
    <n v="159"/>
    <n v="157"/>
    <x v="3"/>
    <x v="3"/>
    <x v="3"/>
    <x v="1"/>
    <x v="115"/>
    <n v="8"/>
    <n v="14"/>
    <x v="4"/>
    <x v="0"/>
    <x v="3"/>
    <x v="2"/>
    <x v="0"/>
    <n v="1"/>
    <n v="0"/>
    <n v="0"/>
    <n v="1"/>
    <n v="0"/>
    <n v="2"/>
    <x v="1"/>
  </r>
  <r>
    <x v="121"/>
    <s v="Zainab Hassan"/>
    <n v="46"/>
    <x v="1"/>
    <x v="1"/>
    <x v="5"/>
    <n v="33.5"/>
    <n v="110"/>
    <n v="99"/>
    <n v="215"/>
    <n v="133"/>
    <x v="1"/>
    <x v="0"/>
    <x v="6"/>
    <x v="1"/>
    <x v="116"/>
    <n v="20"/>
    <n v="4"/>
    <x v="0"/>
    <x v="2"/>
    <x v="0"/>
    <x v="3"/>
    <x v="0"/>
    <n v="1"/>
    <n v="1"/>
    <n v="0"/>
    <n v="1"/>
    <n v="1"/>
    <n v="4"/>
    <x v="0"/>
  </r>
  <r>
    <x v="122"/>
    <s v="Zainab Nwosu"/>
    <n v="27"/>
    <x v="1"/>
    <x v="4"/>
    <x v="0"/>
    <n v="26"/>
    <n v="134"/>
    <n v="66"/>
    <n v="173"/>
    <n v="92"/>
    <x v="1"/>
    <x v="1"/>
    <x v="9"/>
    <x v="1"/>
    <x v="117"/>
    <n v="11"/>
    <n v="17"/>
    <x v="4"/>
    <x v="2"/>
    <x v="1"/>
    <x v="2"/>
    <x v="0"/>
    <n v="1"/>
    <n v="0"/>
    <n v="0"/>
    <n v="1"/>
    <n v="0"/>
    <n v="2"/>
    <x v="1"/>
  </r>
  <r>
    <x v="123"/>
    <s v="Musa Okafor"/>
    <n v="40"/>
    <x v="1"/>
    <x v="3"/>
    <x v="1"/>
    <n v="35.1"/>
    <n v="131"/>
    <n v="96"/>
    <n v="273"/>
    <n v="113"/>
    <x v="1"/>
    <x v="6"/>
    <x v="4"/>
    <x v="1"/>
    <x v="118"/>
    <n v="4"/>
    <n v="2"/>
    <x v="3"/>
    <x v="3"/>
    <x v="0"/>
    <x v="0"/>
    <x v="0"/>
    <n v="1"/>
    <n v="1"/>
    <n v="0"/>
    <n v="1"/>
    <n v="1"/>
    <n v="4"/>
    <x v="0"/>
  </r>
  <r>
    <x v="124"/>
    <s v="Seun Lawal"/>
    <n v="41"/>
    <x v="0"/>
    <x v="2"/>
    <x v="2"/>
    <n v="23.3"/>
    <n v="131"/>
    <n v="100"/>
    <n v="266"/>
    <n v="222"/>
    <x v="3"/>
    <x v="2"/>
    <x v="9"/>
    <x v="0"/>
    <x v="119"/>
    <n v="12"/>
    <n v="10"/>
    <x v="2"/>
    <x v="3"/>
    <x v="2"/>
    <x v="3"/>
    <x v="0"/>
    <n v="1"/>
    <n v="0"/>
    <n v="0"/>
    <n v="0"/>
    <n v="1"/>
    <n v="2"/>
    <x v="1"/>
  </r>
  <r>
    <x v="125"/>
    <s v="Kola Dike"/>
    <n v="43"/>
    <x v="1"/>
    <x v="1"/>
    <x v="0"/>
    <n v="24.5"/>
    <n v="125"/>
    <n v="90"/>
    <n v="220"/>
    <n v="115"/>
    <x v="1"/>
    <x v="4"/>
    <x v="6"/>
    <x v="0"/>
    <x v="120"/>
    <n v="8"/>
    <n v="12"/>
    <x v="2"/>
    <x v="1"/>
    <x v="2"/>
    <x v="3"/>
    <x v="0"/>
    <n v="1"/>
    <n v="0"/>
    <n v="0"/>
    <n v="0"/>
    <n v="1"/>
    <n v="2"/>
    <x v="1"/>
  </r>
  <r>
    <x v="126"/>
    <s v="Nkem Okonkwo"/>
    <n v="59"/>
    <x v="1"/>
    <x v="2"/>
    <x v="2"/>
    <n v="40.799999999999997"/>
    <n v="159"/>
    <n v="105"/>
    <n v="193"/>
    <n v="182"/>
    <x v="0"/>
    <x v="0"/>
    <x v="5"/>
    <x v="0"/>
    <x v="121"/>
    <n v="7"/>
    <n v="8"/>
    <x v="2"/>
    <x v="2"/>
    <x v="0"/>
    <x v="1"/>
    <x v="0"/>
    <n v="1"/>
    <n v="1"/>
    <n v="1"/>
    <n v="0"/>
    <n v="0"/>
    <n v="3"/>
    <x v="1"/>
  </r>
  <r>
    <x v="127"/>
    <s v="Chioma Obi"/>
    <n v="26"/>
    <x v="0"/>
    <x v="1"/>
    <x v="0"/>
    <n v="31.6"/>
    <n v="168"/>
    <n v="92"/>
    <n v="247"/>
    <n v="209"/>
    <x v="0"/>
    <x v="4"/>
    <x v="2"/>
    <x v="0"/>
    <x v="122"/>
    <n v="11"/>
    <n v="5"/>
    <x v="2"/>
    <x v="0"/>
    <x v="0"/>
    <x v="2"/>
    <x v="0"/>
    <n v="1"/>
    <n v="1"/>
    <n v="1"/>
    <n v="0"/>
    <n v="1"/>
    <n v="4"/>
    <x v="0"/>
  </r>
  <r>
    <x v="128"/>
    <s v="Nkem Obi"/>
    <n v="43"/>
    <x v="1"/>
    <x v="2"/>
    <x v="2"/>
    <n v="19.5"/>
    <n v="128"/>
    <n v="92"/>
    <n v="272"/>
    <n v="212"/>
    <x v="3"/>
    <x v="3"/>
    <x v="0"/>
    <x v="0"/>
    <x v="113"/>
    <n v="18"/>
    <n v="16"/>
    <x v="3"/>
    <x v="2"/>
    <x v="2"/>
    <x v="3"/>
    <x v="0"/>
    <n v="1"/>
    <n v="0"/>
    <n v="0"/>
    <n v="1"/>
    <n v="1"/>
    <n v="3"/>
    <x v="1"/>
  </r>
  <r>
    <x v="129"/>
    <s v="Chukwu Sule"/>
    <n v="28"/>
    <x v="1"/>
    <x v="3"/>
    <x v="1"/>
    <n v="19.899999999999999"/>
    <n v="118"/>
    <n v="82"/>
    <n v="219"/>
    <n v="157"/>
    <x v="0"/>
    <x v="2"/>
    <x v="2"/>
    <x v="0"/>
    <x v="123"/>
    <n v="14"/>
    <n v="14"/>
    <x v="2"/>
    <x v="1"/>
    <x v="2"/>
    <x v="2"/>
    <x v="0"/>
    <n v="1"/>
    <n v="0"/>
    <n v="1"/>
    <n v="0"/>
    <n v="1"/>
    <n v="3"/>
    <x v="1"/>
  </r>
  <r>
    <x v="130"/>
    <s v="Ada Adeyemi"/>
    <n v="29"/>
    <x v="1"/>
    <x v="6"/>
    <x v="1"/>
    <n v="33.9"/>
    <n v="121"/>
    <n v="75"/>
    <n v="272"/>
    <n v="114"/>
    <x v="1"/>
    <x v="6"/>
    <x v="8"/>
    <x v="1"/>
    <x v="124"/>
    <n v="12"/>
    <n v="20"/>
    <x v="3"/>
    <x v="2"/>
    <x v="0"/>
    <x v="2"/>
    <x v="2"/>
    <n v="0"/>
    <n v="1"/>
    <n v="0"/>
    <n v="1"/>
    <n v="1"/>
    <n v="3"/>
    <x v="1"/>
  </r>
  <r>
    <x v="131"/>
    <s v="Chioma Obi"/>
    <n v="23"/>
    <x v="0"/>
    <x v="5"/>
    <x v="5"/>
    <n v="27.7"/>
    <n v="100"/>
    <n v="105"/>
    <n v="194"/>
    <n v="122"/>
    <x v="0"/>
    <x v="0"/>
    <x v="3"/>
    <x v="0"/>
    <x v="125"/>
    <n v="6"/>
    <n v="14"/>
    <x v="4"/>
    <x v="1"/>
    <x v="1"/>
    <x v="2"/>
    <x v="0"/>
    <n v="1"/>
    <n v="0"/>
    <n v="1"/>
    <n v="1"/>
    <n v="0"/>
    <n v="3"/>
    <x v="1"/>
  </r>
  <r>
    <x v="132"/>
    <s v="Ibrahim Mbeki"/>
    <n v="62"/>
    <x v="0"/>
    <x v="1"/>
    <x v="1"/>
    <n v="32.299999999999997"/>
    <n v="114"/>
    <n v="82"/>
    <n v="230"/>
    <n v="187"/>
    <x v="3"/>
    <x v="6"/>
    <x v="6"/>
    <x v="0"/>
    <x v="126"/>
    <n v="7"/>
    <n v="9"/>
    <x v="4"/>
    <x v="2"/>
    <x v="0"/>
    <x v="1"/>
    <x v="0"/>
    <n v="1"/>
    <n v="1"/>
    <n v="0"/>
    <n v="1"/>
    <n v="1"/>
    <n v="4"/>
    <x v="0"/>
  </r>
  <r>
    <x v="133"/>
    <s v="Zainab Eze"/>
    <n v="54"/>
    <x v="1"/>
    <x v="3"/>
    <x v="5"/>
    <n v="20.399999999999999"/>
    <n v="149"/>
    <n v="87"/>
    <n v="187"/>
    <n v="194"/>
    <x v="1"/>
    <x v="5"/>
    <x v="4"/>
    <x v="1"/>
    <x v="127"/>
    <n v="5"/>
    <n v="10"/>
    <x v="4"/>
    <x v="0"/>
    <x v="2"/>
    <x v="1"/>
    <x v="0"/>
    <n v="1"/>
    <n v="0"/>
    <n v="0"/>
    <n v="1"/>
    <n v="0"/>
    <n v="2"/>
    <x v="1"/>
  </r>
  <r>
    <x v="134"/>
    <s v="Zainab Okafor"/>
    <n v="53"/>
    <x v="1"/>
    <x v="0"/>
    <x v="1"/>
    <n v="41.1"/>
    <n v="164"/>
    <n v="101"/>
    <n v="266"/>
    <n v="174"/>
    <x v="0"/>
    <x v="1"/>
    <x v="10"/>
    <x v="0"/>
    <x v="128"/>
    <n v="0"/>
    <n v="7"/>
    <x v="2"/>
    <x v="0"/>
    <x v="0"/>
    <x v="1"/>
    <x v="0"/>
    <n v="1"/>
    <n v="1"/>
    <n v="1"/>
    <n v="0"/>
    <n v="1"/>
    <n v="4"/>
    <x v="0"/>
  </r>
  <r>
    <x v="135"/>
    <s v="Seun Abubakar"/>
    <n v="56"/>
    <x v="1"/>
    <x v="1"/>
    <x v="0"/>
    <n v="31.1"/>
    <n v="163"/>
    <n v="95"/>
    <n v="270"/>
    <n v="98"/>
    <x v="3"/>
    <x v="0"/>
    <x v="6"/>
    <x v="0"/>
    <x v="129"/>
    <n v="17"/>
    <n v="6"/>
    <x v="0"/>
    <x v="1"/>
    <x v="0"/>
    <x v="1"/>
    <x v="0"/>
    <n v="1"/>
    <n v="1"/>
    <n v="0"/>
    <n v="1"/>
    <n v="1"/>
    <n v="4"/>
    <x v="0"/>
  </r>
  <r>
    <x v="136"/>
    <s v="Uche Igwe"/>
    <n v="24"/>
    <x v="0"/>
    <x v="4"/>
    <x v="2"/>
    <n v="38.6"/>
    <n v="111"/>
    <n v="88"/>
    <n v="170"/>
    <n v="130"/>
    <x v="2"/>
    <x v="3"/>
    <x v="8"/>
    <x v="1"/>
    <x v="130"/>
    <n v="6"/>
    <n v="6"/>
    <x v="0"/>
    <x v="2"/>
    <x v="0"/>
    <x v="2"/>
    <x v="0"/>
    <n v="1"/>
    <n v="1"/>
    <n v="0"/>
    <n v="1"/>
    <n v="0"/>
    <n v="3"/>
    <x v="1"/>
  </r>
  <r>
    <x v="137"/>
    <s v="Dayo Olawale"/>
    <n v="60"/>
    <x v="1"/>
    <x v="6"/>
    <x v="4"/>
    <n v="24.2"/>
    <n v="134"/>
    <n v="92"/>
    <n v="164"/>
    <n v="104"/>
    <x v="1"/>
    <x v="3"/>
    <x v="6"/>
    <x v="1"/>
    <x v="131"/>
    <n v="10"/>
    <n v="7"/>
    <x v="2"/>
    <x v="3"/>
    <x v="2"/>
    <x v="1"/>
    <x v="0"/>
    <n v="1"/>
    <n v="0"/>
    <n v="0"/>
    <n v="0"/>
    <n v="0"/>
    <n v="1"/>
    <x v="2"/>
  </r>
  <r>
    <x v="138"/>
    <s v="Ibrahim Eze"/>
    <n v="58"/>
    <x v="1"/>
    <x v="3"/>
    <x v="1"/>
    <n v="28.3"/>
    <n v="111"/>
    <n v="85"/>
    <n v="271"/>
    <n v="141"/>
    <x v="1"/>
    <x v="5"/>
    <x v="9"/>
    <x v="0"/>
    <x v="132"/>
    <n v="14"/>
    <n v="20"/>
    <x v="2"/>
    <x v="2"/>
    <x v="1"/>
    <x v="1"/>
    <x v="0"/>
    <n v="1"/>
    <n v="0"/>
    <n v="0"/>
    <n v="0"/>
    <n v="1"/>
    <n v="2"/>
    <x v="1"/>
  </r>
  <r>
    <x v="139"/>
    <s v="Ngozi Hassan"/>
    <n v="47"/>
    <x v="0"/>
    <x v="3"/>
    <x v="3"/>
    <n v="29.4"/>
    <n v="141"/>
    <n v="78"/>
    <n v="226"/>
    <n v="210"/>
    <x v="3"/>
    <x v="6"/>
    <x v="3"/>
    <x v="0"/>
    <x v="133"/>
    <n v="1"/>
    <n v="1"/>
    <x v="4"/>
    <x v="3"/>
    <x v="1"/>
    <x v="3"/>
    <x v="0"/>
    <n v="1"/>
    <n v="0"/>
    <n v="0"/>
    <n v="1"/>
    <n v="1"/>
    <n v="3"/>
    <x v="1"/>
  </r>
  <r>
    <x v="140"/>
    <s v="Chukwu Nwosu"/>
    <n v="32"/>
    <x v="0"/>
    <x v="5"/>
    <x v="2"/>
    <n v="41.8"/>
    <n v="154"/>
    <n v="72"/>
    <n v="173"/>
    <n v="236"/>
    <x v="0"/>
    <x v="6"/>
    <x v="6"/>
    <x v="0"/>
    <x v="134"/>
    <n v="11"/>
    <n v="20"/>
    <x v="3"/>
    <x v="0"/>
    <x v="0"/>
    <x v="0"/>
    <x v="0"/>
    <n v="1"/>
    <n v="1"/>
    <n v="1"/>
    <n v="1"/>
    <n v="0"/>
    <n v="4"/>
    <x v="0"/>
  </r>
  <r>
    <x v="141"/>
    <s v="Musa Igwe"/>
    <n v="36"/>
    <x v="1"/>
    <x v="2"/>
    <x v="1"/>
    <n v="17"/>
    <n v="161"/>
    <n v="64"/>
    <n v="173"/>
    <n v="221"/>
    <x v="2"/>
    <x v="3"/>
    <x v="9"/>
    <x v="1"/>
    <x v="135"/>
    <n v="3"/>
    <n v="13"/>
    <x v="3"/>
    <x v="3"/>
    <x v="3"/>
    <x v="0"/>
    <x v="0"/>
    <n v="1"/>
    <n v="0"/>
    <n v="0"/>
    <n v="1"/>
    <n v="0"/>
    <n v="2"/>
    <x v="1"/>
  </r>
  <r>
    <x v="142"/>
    <s v="Ngozi Abubakar"/>
    <n v="46"/>
    <x v="0"/>
    <x v="2"/>
    <x v="1"/>
    <n v="24.8"/>
    <n v="138"/>
    <n v="68"/>
    <n v="237"/>
    <n v="104"/>
    <x v="1"/>
    <x v="0"/>
    <x v="2"/>
    <x v="1"/>
    <x v="136"/>
    <n v="6"/>
    <n v="20"/>
    <x v="3"/>
    <x v="3"/>
    <x v="2"/>
    <x v="3"/>
    <x v="0"/>
    <n v="1"/>
    <n v="0"/>
    <n v="0"/>
    <n v="1"/>
    <n v="1"/>
    <n v="3"/>
    <x v="1"/>
  </r>
  <r>
    <x v="143"/>
    <s v="Femi Dike"/>
    <n v="35"/>
    <x v="0"/>
    <x v="2"/>
    <x v="0"/>
    <n v="35.799999999999997"/>
    <n v="149"/>
    <n v="82"/>
    <n v="249"/>
    <n v="150"/>
    <x v="1"/>
    <x v="2"/>
    <x v="6"/>
    <x v="0"/>
    <x v="137"/>
    <n v="19"/>
    <n v="19"/>
    <x v="2"/>
    <x v="0"/>
    <x v="0"/>
    <x v="0"/>
    <x v="0"/>
    <n v="1"/>
    <n v="1"/>
    <n v="0"/>
    <n v="0"/>
    <n v="1"/>
    <n v="3"/>
    <x v="1"/>
  </r>
  <r>
    <x v="144"/>
    <s v="Ada Okonkwo"/>
    <n v="55"/>
    <x v="0"/>
    <x v="3"/>
    <x v="4"/>
    <n v="33.200000000000003"/>
    <n v="130"/>
    <n v="91"/>
    <n v="238"/>
    <n v="98"/>
    <x v="2"/>
    <x v="5"/>
    <x v="3"/>
    <x v="0"/>
    <x v="138"/>
    <n v="4"/>
    <n v="12"/>
    <x v="2"/>
    <x v="3"/>
    <x v="0"/>
    <x v="1"/>
    <x v="0"/>
    <n v="1"/>
    <n v="1"/>
    <n v="0"/>
    <n v="0"/>
    <n v="1"/>
    <n v="3"/>
    <x v="1"/>
  </r>
  <r>
    <x v="145"/>
    <s v="Zainab Hassan"/>
    <n v="33"/>
    <x v="0"/>
    <x v="2"/>
    <x v="2"/>
    <n v="31.7"/>
    <n v="101"/>
    <n v="76"/>
    <n v="195"/>
    <n v="80"/>
    <x v="0"/>
    <x v="1"/>
    <x v="2"/>
    <x v="1"/>
    <x v="139"/>
    <n v="12"/>
    <n v="2"/>
    <x v="2"/>
    <x v="3"/>
    <x v="0"/>
    <x v="0"/>
    <x v="1"/>
    <n v="0"/>
    <n v="1"/>
    <n v="1"/>
    <n v="0"/>
    <n v="0"/>
    <n v="2"/>
    <x v="1"/>
  </r>
  <r>
    <x v="146"/>
    <s v="Dayo Taiwo"/>
    <n v="31"/>
    <x v="1"/>
    <x v="2"/>
    <x v="4"/>
    <n v="19"/>
    <n v="126"/>
    <n v="69"/>
    <n v="277"/>
    <n v="153"/>
    <x v="1"/>
    <x v="3"/>
    <x v="1"/>
    <x v="1"/>
    <x v="140"/>
    <n v="7"/>
    <n v="1"/>
    <x v="2"/>
    <x v="1"/>
    <x v="2"/>
    <x v="0"/>
    <x v="2"/>
    <n v="0"/>
    <n v="0"/>
    <n v="0"/>
    <n v="0"/>
    <n v="1"/>
    <n v="1"/>
    <x v="2"/>
  </r>
  <r>
    <x v="147"/>
    <s v="Chioma Nwosu"/>
    <n v="51"/>
    <x v="1"/>
    <x v="4"/>
    <x v="0"/>
    <n v="20"/>
    <n v="117"/>
    <n v="104"/>
    <n v="142"/>
    <n v="111"/>
    <x v="0"/>
    <x v="4"/>
    <x v="2"/>
    <x v="1"/>
    <x v="141"/>
    <n v="8"/>
    <n v="3"/>
    <x v="0"/>
    <x v="2"/>
    <x v="2"/>
    <x v="1"/>
    <x v="0"/>
    <n v="1"/>
    <n v="0"/>
    <n v="1"/>
    <n v="1"/>
    <n v="0"/>
    <n v="3"/>
    <x v="1"/>
  </r>
  <r>
    <x v="148"/>
    <s v="Chioma Olawale"/>
    <n v="55"/>
    <x v="0"/>
    <x v="4"/>
    <x v="5"/>
    <n v="32.700000000000003"/>
    <n v="163"/>
    <n v="89"/>
    <n v="270"/>
    <n v="162"/>
    <x v="0"/>
    <x v="5"/>
    <x v="3"/>
    <x v="1"/>
    <x v="142"/>
    <n v="3"/>
    <n v="18"/>
    <x v="2"/>
    <x v="1"/>
    <x v="0"/>
    <x v="1"/>
    <x v="0"/>
    <n v="1"/>
    <n v="1"/>
    <n v="1"/>
    <n v="0"/>
    <n v="1"/>
    <n v="4"/>
    <x v="0"/>
  </r>
  <r>
    <x v="149"/>
    <s v="Uche Mbeki"/>
    <n v="22"/>
    <x v="1"/>
    <x v="5"/>
    <x v="3"/>
    <n v="32"/>
    <n v="149"/>
    <n v="69"/>
    <n v="185"/>
    <n v="79"/>
    <x v="1"/>
    <x v="5"/>
    <x v="5"/>
    <x v="0"/>
    <x v="87"/>
    <n v="8"/>
    <n v="2"/>
    <x v="2"/>
    <x v="2"/>
    <x v="0"/>
    <x v="2"/>
    <x v="0"/>
    <n v="1"/>
    <n v="1"/>
    <n v="0"/>
    <n v="0"/>
    <n v="0"/>
    <n v="2"/>
    <x v="1"/>
  </r>
  <r>
    <x v="150"/>
    <s v="Tunde Mbeki"/>
    <n v="25"/>
    <x v="1"/>
    <x v="0"/>
    <x v="6"/>
    <n v="41.5"/>
    <n v="151"/>
    <n v="64"/>
    <n v="259"/>
    <n v="142"/>
    <x v="0"/>
    <x v="4"/>
    <x v="1"/>
    <x v="0"/>
    <x v="143"/>
    <n v="9"/>
    <n v="18"/>
    <x v="2"/>
    <x v="0"/>
    <x v="0"/>
    <x v="2"/>
    <x v="0"/>
    <n v="1"/>
    <n v="1"/>
    <n v="1"/>
    <n v="0"/>
    <n v="1"/>
    <n v="4"/>
    <x v="0"/>
  </r>
  <r>
    <x v="151"/>
    <s v="Ayo Yakubu"/>
    <n v="59"/>
    <x v="0"/>
    <x v="0"/>
    <x v="6"/>
    <n v="36"/>
    <n v="131"/>
    <n v="69"/>
    <n v="141"/>
    <n v="174"/>
    <x v="0"/>
    <x v="2"/>
    <x v="2"/>
    <x v="0"/>
    <x v="144"/>
    <n v="12"/>
    <n v="9"/>
    <x v="4"/>
    <x v="0"/>
    <x v="0"/>
    <x v="1"/>
    <x v="0"/>
    <n v="1"/>
    <n v="1"/>
    <n v="1"/>
    <n v="1"/>
    <n v="0"/>
    <n v="4"/>
    <x v="0"/>
  </r>
  <r>
    <x v="152"/>
    <s v="Blessing Abubakar"/>
    <n v="48"/>
    <x v="0"/>
    <x v="5"/>
    <x v="0"/>
    <n v="34.799999999999997"/>
    <n v="111"/>
    <n v="62"/>
    <n v="199"/>
    <n v="203"/>
    <x v="1"/>
    <x v="4"/>
    <x v="9"/>
    <x v="0"/>
    <x v="145"/>
    <n v="20"/>
    <n v="12"/>
    <x v="4"/>
    <x v="0"/>
    <x v="0"/>
    <x v="3"/>
    <x v="1"/>
    <n v="0"/>
    <n v="1"/>
    <n v="0"/>
    <n v="1"/>
    <n v="0"/>
    <n v="2"/>
    <x v="1"/>
  </r>
  <r>
    <x v="153"/>
    <s v="Chioma Eze"/>
    <n v="37"/>
    <x v="1"/>
    <x v="4"/>
    <x v="2"/>
    <n v="40.200000000000003"/>
    <n v="150"/>
    <n v="104"/>
    <n v="223"/>
    <n v="151"/>
    <x v="0"/>
    <x v="7"/>
    <x v="0"/>
    <x v="0"/>
    <x v="146"/>
    <n v="18"/>
    <n v="3"/>
    <x v="3"/>
    <x v="1"/>
    <x v="0"/>
    <x v="0"/>
    <x v="0"/>
    <n v="1"/>
    <n v="1"/>
    <n v="1"/>
    <n v="1"/>
    <n v="1"/>
    <n v="5"/>
    <x v="0"/>
  </r>
  <r>
    <x v="154"/>
    <s v="Bello Dike"/>
    <n v="51"/>
    <x v="0"/>
    <x v="3"/>
    <x v="1"/>
    <n v="30.4"/>
    <n v="126"/>
    <n v="88"/>
    <n v="218"/>
    <n v="188"/>
    <x v="0"/>
    <x v="0"/>
    <x v="1"/>
    <x v="1"/>
    <x v="147"/>
    <n v="19"/>
    <n v="1"/>
    <x v="2"/>
    <x v="2"/>
    <x v="0"/>
    <x v="1"/>
    <x v="0"/>
    <n v="1"/>
    <n v="1"/>
    <n v="1"/>
    <n v="0"/>
    <n v="1"/>
    <n v="4"/>
    <x v="0"/>
  </r>
  <r>
    <x v="155"/>
    <s v="Amaka Balogun"/>
    <n v="37"/>
    <x v="0"/>
    <x v="3"/>
    <x v="6"/>
    <n v="18.2"/>
    <n v="138"/>
    <n v="76"/>
    <n v="184"/>
    <n v="77"/>
    <x v="1"/>
    <x v="5"/>
    <x v="2"/>
    <x v="0"/>
    <x v="148"/>
    <n v="4"/>
    <n v="3"/>
    <x v="0"/>
    <x v="0"/>
    <x v="3"/>
    <x v="0"/>
    <x v="0"/>
    <n v="1"/>
    <n v="0"/>
    <n v="0"/>
    <n v="1"/>
    <n v="0"/>
    <n v="2"/>
    <x v="1"/>
  </r>
  <r>
    <x v="156"/>
    <s v="Uche Eze"/>
    <n v="34"/>
    <x v="1"/>
    <x v="6"/>
    <x v="1"/>
    <n v="31.6"/>
    <n v="133"/>
    <n v="64"/>
    <n v="145"/>
    <n v="86"/>
    <x v="2"/>
    <x v="5"/>
    <x v="9"/>
    <x v="1"/>
    <x v="149"/>
    <n v="1"/>
    <n v="14"/>
    <x v="0"/>
    <x v="2"/>
    <x v="0"/>
    <x v="0"/>
    <x v="0"/>
    <n v="1"/>
    <n v="1"/>
    <n v="0"/>
    <n v="1"/>
    <n v="0"/>
    <n v="3"/>
    <x v="1"/>
  </r>
  <r>
    <x v="157"/>
    <s v="Nkem Lawal"/>
    <n v="47"/>
    <x v="0"/>
    <x v="5"/>
    <x v="1"/>
    <n v="34.1"/>
    <n v="122"/>
    <n v="82"/>
    <n v="194"/>
    <n v="117"/>
    <x v="0"/>
    <x v="7"/>
    <x v="9"/>
    <x v="1"/>
    <x v="150"/>
    <n v="19"/>
    <n v="7"/>
    <x v="2"/>
    <x v="1"/>
    <x v="0"/>
    <x v="3"/>
    <x v="0"/>
    <n v="1"/>
    <n v="1"/>
    <n v="1"/>
    <n v="0"/>
    <n v="0"/>
    <n v="3"/>
    <x v="1"/>
  </r>
  <r>
    <x v="158"/>
    <s v="Ibrahim Lawal"/>
    <n v="57"/>
    <x v="0"/>
    <x v="5"/>
    <x v="1"/>
    <n v="24"/>
    <n v="117"/>
    <n v="86"/>
    <n v="191"/>
    <n v="234"/>
    <x v="1"/>
    <x v="2"/>
    <x v="2"/>
    <x v="1"/>
    <x v="151"/>
    <n v="15"/>
    <n v="17"/>
    <x v="4"/>
    <x v="2"/>
    <x v="2"/>
    <x v="1"/>
    <x v="0"/>
    <n v="1"/>
    <n v="0"/>
    <n v="0"/>
    <n v="1"/>
    <n v="0"/>
    <n v="2"/>
    <x v="1"/>
  </r>
  <r>
    <x v="159"/>
    <s v="Nkem Mbeki"/>
    <n v="42"/>
    <x v="1"/>
    <x v="4"/>
    <x v="0"/>
    <n v="17.7"/>
    <n v="134"/>
    <n v="61"/>
    <n v="211"/>
    <n v="84"/>
    <x v="0"/>
    <x v="3"/>
    <x v="8"/>
    <x v="0"/>
    <x v="152"/>
    <n v="7"/>
    <n v="8"/>
    <x v="1"/>
    <x v="0"/>
    <x v="3"/>
    <x v="3"/>
    <x v="0"/>
    <n v="1"/>
    <n v="0"/>
    <n v="1"/>
    <n v="1"/>
    <n v="1"/>
    <n v="4"/>
    <x v="0"/>
  </r>
  <r>
    <x v="160"/>
    <s v="Uche Onwuka"/>
    <n v="46"/>
    <x v="0"/>
    <x v="1"/>
    <x v="0"/>
    <n v="22.9"/>
    <n v="140"/>
    <n v="104"/>
    <n v="231"/>
    <n v="221"/>
    <x v="0"/>
    <x v="4"/>
    <x v="3"/>
    <x v="1"/>
    <x v="153"/>
    <n v="9"/>
    <n v="5"/>
    <x v="4"/>
    <x v="0"/>
    <x v="2"/>
    <x v="3"/>
    <x v="0"/>
    <n v="1"/>
    <n v="0"/>
    <n v="1"/>
    <n v="1"/>
    <n v="1"/>
    <n v="4"/>
    <x v="0"/>
  </r>
  <r>
    <x v="161"/>
    <s v="Ngozi Adeyemi"/>
    <n v="36"/>
    <x v="0"/>
    <x v="5"/>
    <x v="6"/>
    <n v="28.9"/>
    <n v="142"/>
    <n v="99"/>
    <n v="191"/>
    <n v="103"/>
    <x v="1"/>
    <x v="6"/>
    <x v="8"/>
    <x v="1"/>
    <x v="154"/>
    <n v="4"/>
    <n v="3"/>
    <x v="1"/>
    <x v="2"/>
    <x v="1"/>
    <x v="0"/>
    <x v="0"/>
    <n v="1"/>
    <n v="0"/>
    <n v="0"/>
    <n v="1"/>
    <n v="0"/>
    <n v="2"/>
    <x v="1"/>
  </r>
  <r>
    <x v="162"/>
    <s v="Ngozi Yakubu"/>
    <n v="47"/>
    <x v="0"/>
    <x v="6"/>
    <x v="4"/>
    <n v="25.1"/>
    <n v="120"/>
    <n v="87"/>
    <n v="264"/>
    <n v="236"/>
    <x v="1"/>
    <x v="6"/>
    <x v="2"/>
    <x v="0"/>
    <x v="155"/>
    <n v="5"/>
    <n v="12"/>
    <x v="2"/>
    <x v="1"/>
    <x v="1"/>
    <x v="3"/>
    <x v="0"/>
    <n v="1"/>
    <n v="0"/>
    <n v="0"/>
    <n v="0"/>
    <n v="1"/>
    <n v="2"/>
    <x v="1"/>
  </r>
  <r>
    <x v="163"/>
    <s v="Amaka Aliyu"/>
    <n v="22"/>
    <x v="1"/>
    <x v="1"/>
    <x v="2"/>
    <n v="21.6"/>
    <n v="140"/>
    <n v="99"/>
    <n v="196"/>
    <n v="233"/>
    <x v="3"/>
    <x v="0"/>
    <x v="9"/>
    <x v="1"/>
    <x v="156"/>
    <n v="7"/>
    <n v="11"/>
    <x v="2"/>
    <x v="2"/>
    <x v="2"/>
    <x v="2"/>
    <x v="0"/>
    <n v="1"/>
    <n v="0"/>
    <n v="0"/>
    <n v="0"/>
    <n v="0"/>
    <n v="1"/>
    <x v="2"/>
  </r>
  <r>
    <x v="164"/>
    <s v="Ngozi Fashola"/>
    <n v="50"/>
    <x v="1"/>
    <x v="4"/>
    <x v="3"/>
    <n v="23.2"/>
    <n v="108"/>
    <n v="82"/>
    <n v="213"/>
    <n v="97"/>
    <x v="0"/>
    <x v="3"/>
    <x v="5"/>
    <x v="0"/>
    <x v="157"/>
    <n v="15"/>
    <n v="12"/>
    <x v="2"/>
    <x v="3"/>
    <x v="2"/>
    <x v="3"/>
    <x v="0"/>
    <n v="1"/>
    <n v="0"/>
    <n v="1"/>
    <n v="0"/>
    <n v="1"/>
    <n v="3"/>
    <x v="1"/>
  </r>
  <r>
    <x v="165"/>
    <s v="Musa Nwosu"/>
    <n v="52"/>
    <x v="0"/>
    <x v="1"/>
    <x v="0"/>
    <n v="18.8"/>
    <n v="104"/>
    <n v="78"/>
    <n v="145"/>
    <n v="151"/>
    <x v="0"/>
    <x v="0"/>
    <x v="1"/>
    <x v="0"/>
    <x v="158"/>
    <n v="2"/>
    <n v="17"/>
    <x v="4"/>
    <x v="2"/>
    <x v="2"/>
    <x v="1"/>
    <x v="1"/>
    <n v="0"/>
    <n v="0"/>
    <n v="1"/>
    <n v="1"/>
    <n v="0"/>
    <n v="2"/>
    <x v="1"/>
  </r>
  <r>
    <x v="166"/>
    <s v="Femi Taiwo"/>
    <n v="52"/>
    <x v="1"/>
    <x v="3"/>
    <x v="0"/>
    <n v="32.200000000000003"/>
    <n v="155"/>
    <n v="70"/>
    <n v="153"/>
    <n v="95"/>
    <x v="1"/>
    <x v="2"/>
    <x v="0"/>
    <x v="1"/>
    <x v="159"/>
    <n v="9"/>
    <n v="7"/>
    <x v="4"/>
    <x v="0"/>
    <x v="0"/>
    <x v="1"/>
    <x v="0"/>
    <n v="1"/>
    <n v="1"/>
    <n v="0"/>
    <n v="1"/>
    <n v="0"/>
    <n v="3"/>
    <x v="1"/>
  </r>
  <r>
    <x v="167"/>
    <s v="Musa Onwuka"/>
    <n v="57"/>
    <x v="0"/>
    <x v="1"/>
    <x v="2"/>
    <n v="26"/>
    <n v="154"/>
    <n v="65"/>
    <n v="215"/>
    <n v="239"/>
    <x v="3"/>
    <x v="5"/>
    <x v="0"/>
    <x v="0"/>
    <x v="160"/>
    <n v="20"/>
    <n v="9"/>
    <x v="4"/>
    <x v="3"/>
    <x v="1"/>
    <x v="1"/>
    <x v="0"/>
    <n v="1"/>
    <n v="0"/>
    <n v="0"/>
    <n v="1"/>
    <n v="1"/>
    <n v="3"/>
    <x v="1"/>
  </r>
  <r>
    <x v="168"/>
    <s v="Tunde Igwe"/>
    <n v="47"/>
    <x v="0"/>
    <x v="5"/>
    <x v="4"/>
    <n v="19.3"/>
    <n v="169"/>
    <n v="84"/>
    <n v="187"/>
    <n v="164"/>
    <x v="1"/>
    <x v="4"/>
    <x v="4"/>
    <x v="0"/>
    <x v="161"/>
    <n v="14"/>
    <n v="8"/>
    <x v="2"/>
    <x v="1"/>
    <x v="2"/>
    <x v="3"/>
    <x v="0"/>
    <n v="1"/>
    <n v="0"/>
    <n v="0"/>
    <n v="0"/>
    <n v="0"/>
    <n v="1"/>
    <x v="2"/>
  </r>
  <r>
    <x v="169"/>
    <s v="Nkem Adeyemi"/>
    <n v="31"/>
    <x v="0"/>
    <x v="2"/>
    <x v="2"/>
    <n v="37.200000000000003"/>
    <n v="152"/>
    <n v="97"/>
    <n v="198"/>
    <n v="211"/>
    <x v="0"/>
    <x v="1"/>
    <x v="2"/>
    <x v="1"/>
    <x v="162"/>
    <n v="15"/>
    <n v="9"/>
    <x v="4"/>
    <x v="3"/>
    <x v="0"/>
    <x v="0"/>
    <x v="0"/>
    <n v="1"/>
    <n v="1"/>
    <n v="1"/>
    <n v="1"/>
    <n v="0"/>
    <n v="4"/>
    <x v="0"/>
  </r>
  <r>
    <x v="170"/>
    <s v="Emeka Mbeki"/>
    <n v="58"/>
    <x v="1"/>
    <x v="2"/>
    <x v="0"/>
    <n v="21.3"/>
    <n v="121"/>
    <n v="73"/>
    <n v="189"/>
    <n v="102"/>
    <x v="0"/>
    <x v="1"/>
    <x v="1"/>
    <x v="1"/>
    <x v="163"/>
    <n v="19"/>
    <n v="8"/>
    <x v="2"/>
    <x v="1"/>
    <x v="2"/>
    <x v="1"/>
    <x v="2"/>
    <n v="0"/>
    <n v="0"/>
    <n v="1"/>
    <n v="0"/>
    <n v="0"/>
    <n v="1"/>
    <x v="2"/>
  </r>
  <r>
    <x v="171"/>
    <s v="Ngozi Obi"/>
    <n v="57"/>
    <x v="1"/>
    <x v="2"/>
    <x v="2"/>
    <n v="38.4"/>
    <n v="166"/>
    <n v="89"/>
    <n v="143"/>
    <n v="249"/>
    <x v="3"/>
    <x v="3"/>
    <x v="2"/>
    <x v="1"/>
    <x v="164"/>
    <n v="4"/>
    <n v="18"/>
    <x v="2"/>
    <x v="1"/>
    <x v="0"/>
    <x v="1"/>
    <x v="0"/>
    <n v="1"/>
    <n v="1"/>
    <n v="0"/>
    <n v="0"/>
    <n v="0"/>
    <n v="2"/>
    <x v="1"/>
  </r>
  <r>
    <x v="172"/>
    <s v="Tunde Onwuka"/>
    <n v="28"/>
    <x v="1"/>
    <x v="2"/>
    <x v="2"/>
    <n v="38.9"/>
    <n v="133"/>
    <n v="84"/>
    <n v="264"/>
    <n v="216"/>
    <x v="3"/>
    <x v="5"/>
    <x v="7"/>
    <x v="1"/>
    <x v="165"/>
    <n v="19"/>
    <n v="19"/>
    <x v="2"/>
    <x v="3"/>
    <x v="0"/>
    <x v="2"/>
    <x v="0"/>
    <n v="1"/>
    <n v="1"/>
    <n v="0"/>
    <n v="0"/>
    <n v="1"/>
    <n v="3"/>
    <x v="1"/>
  </r>
  <r>
    <x v="173"/>
    <s v="Emeka Obi"/>
    <n v="43"/>
    <x v="0"/>
    <x v="5"/>
    <x v="0"/>
    <n v="40"/>
    <n v="147"/>
    <n v="61"/>
    <n v="226"/>
    <n v="147"/>
    <x v="0"/>
    <x v="7"/>
    <x v="9"/>
    <x v="0"/>
    <x v="166"/>
    <n v="14"/>
    <n v="10"/>
    <x v="2"/>
    <x v="3"/>
    <x v="0"/>
    <x v="3"/>
    <x v="0"/>
    <n v="1"/>
    <n v="1"/>
    <n v="1"/>
    <n v="0"/>
    <n v="1"/>
    <n v="4"/>
    <x v="0"/>
  </r>
  <r>
    <x v="174"/>
    <s v="Femi Balogun"/>
    <n v="34"/>
    <x v="0"/>
    <x v="0"/>
    <x v="1"/>
    <n v="35.5"/>
    <n v="166"/>
    <n v="83"/>
    <n v="154"/>
    <n v="201"/>
    <x v="1"/>
    <x v="0"/>
    <x v="6"/>
    <x v="1"/>
    <x v="167"/>
    <n v="0"/>
    <n v="5"/>
    <x v="2"/>
    <x v="0"/>
    <x v="0"/>
    <x v="0"/>
    <x v="0"/>
    <n v="1"/>
    <n v="1"/>
    <n v="0"/>
    <n v="0"/>
    <n v="0"/>
    <n v="2"/>
    <x v="1"/>
  </r>
  <r>
    <x v="175"/>
    <s v="Emeka Abubakar"/>
    <n v="24"/>
    <x v="0"/>
    <x v="5"/>
    <x v="2"/>
    <n v="34.6"/>
    <n v="135"/>
    <n v="83"/>
    <n v="258"/>
    <n v="199"/>
    <x v="1"/>
    <x v="5"/>
    <x v="1"/>
    <x v="1"/>
    <x v="168"/>
    <n v="19"/>
    <n v="14"/>
    <x v="3"/>
    <x v="3"/>
    <x v="0"/>
    <x v="2"/>
    <x v="0"/>
    <n v="1"/>
    <n v="1"/>
    <n v="0"/>
    <n v="1"/>
    <n v="1"/>
    <n v="4"/>
    <x v="0"/>
  </r>
  <r>
    <x v="176"/>
    <s v="Nkem Hassan"/>
    <n v="44"/>
    <x v="0"/>
    <x v="1"/>
    <x v="4"/>
    <n v="35.700000000000003"/>
    <n v="111"/>
    <n v="78"/>
    <n v="147"/>
    <n v="168"/>
    <x v="0"/>
    <x v="6"/>
    <x v="3"/>
    <x v="0"/>
    <x v="96"/>
    <n v="6"/>
    <n v="8"/>
    <x v="2"/>
    <x v="3"/>
    <x v="0"/>
    <x v="3"/>
    <x v="1"/>
    <n v="0"/>
    <n v="1"/>
    <n v="1"/>
    <n v="0"/>
    <n v="0"/>
    <n v="2"/>
    <x v="1"/>
  </r>
  <r>
    <x v="177"/>
    <s v="Blessing Okafor"/>
    <n v="22"/>
    <x v="0"/>
    <x v="1"/>
    <x v="0"/>
    <n v="32"/>
    <n v="101"/>
    <n v="74"/>
    <n v="204"/>
    <n v="225"/>
    <x v="0"/>
    <x v="5"/>
    <x v="6"/>
    <x v="1"/>
    <x v="169"/>
    <n v="8"/>
    <n v="6"/>
    <x v="4"/>
    <x v="1"/>
    <x v="0"/>
    <x v="2"/>
    <x v="1"/>
    <n v="0"/>
    <n v="1"/>
    <n v="1"/>
    <n v="1"/>
    <n v="1"/>
    <n v="4"/>
    <x v="0"/>
  </r>
  <r>
    <x v="178"/>
    <s v="Blessing Taiwo"/>
    <n v="47"/>
    <x v="0"/>
    <x v="5"/>
    <x v="6"/>
    <n v="42"/>
    <n v="147"/>
    <n v="95"/>
    <n v="212"/>
    <n v="146"/>
    <x v="1"/>
    <x v="5"/>
    <x v="1"/>
    <x v="0"/>
    <x v="170"/>
    <n v="8"/>
    <n v="8"/>
    <x v="2"/>
    <x v="1"/>
    <x v="0"/>
    <x v="3"/>
    <x v="0"/>
    <n v="1"/>
    <n v="1"/>
    <n v="0"/>
    <n v="0"/>
    <n v="1"/>
    <n v="3"/>
    <x v="1"/>
  </r>
  <r>
    <x v="179"/>
    <s v="Fatima Eze"/>
    <n v="55"/>
    <x v="0"/>
    <x v="5"/>
    <x v="5"/>
    <n v="27.1"/>
    <n v="140"/>
    <n v="103"/>
    <n v="175"/>
    <n v="76"/>
    <x v="0"/>
    <x v="7"/>
    <x v="10"/>
    <x v="1"/>
    <x v="29"/>
    <n v="0"/>
    <n v="18"/>
    <x v="2"/>
    <x v="0"/>
    <x v="1"/>
    <x v="1"/>
    <x v="0"/>
    <n v="1"/>
    <n v="0"/>
    <n v="1"/>
    <n v="0"/>
    <n v="0"/>
    <n v="2"/>
    <x v="1"/>
  </r>
  <r>
    <x v="180"/>
    <s v="Dayo Sule"/>
    <n v="44"/>
    <x v="1"/>
    <x v="1"/>
    <x v="6"/>
    <n v="21.5"/>
    <n v="112"/>
    <n v="90"/>
    <n v="172"/>
    <n v="136"/>
    <x v="1"/>
    <x v="6"/>
    <x v="8"/>
    <x v="0"/>
    <x v="171"/>
    <n v="9"/>
    <n v="13"/>
    <x v="2"/>
    <x v="2"/>
    <x v="2"/>
    <x v="3"/>
    <x v="0"/>
    <n v="1"/>
    <n v="0"/>
    <n v="0"/>
    <n v="0"/>
    <n v="0"/>
    <n v="1"/>
    <x v="2"/>
  </r>
  <r>
    <x v="181"/>
    <s v="Seun Onwuka"/>
    <n v="40"/>
    <x v="0"/>
    <x v="2"/>
    <x v="0"/>
    <n v="18.3"/>
    <n v="109"/>
    <n v="90"/>
    <n v="189"/>
    <n v="198"/>
    <x v="1"/>
    <x v="5"/>
    <x v="5"/>
    <x v="1"/>
    <x v="172"/>
    <n v="4"/>
    <n v="4"/>
    <x v="2"/>
    <x v="2"/>
    <x v="3"/>
    <x v="0"/>
    <x v="0"/>
    <n v="1"/>
    <n v="0"/>
    <n v="0"/>
    <n v="0"/>
    <n v="0"/>
    <n v="1"/>
    <x v="2"/>
  </r>
  <r>
    <x v="182"/>
    <s v="Chioma Onwuka"/>
    <n v="51"/>
    <x v="1"/>
    <x v="6"/>
    <x v="0"/>
    <n v="36.5"/>
    <n v="162"/>
    <n v="81"/>
    <n v="185"/>
    <n v="150"/>
    <x v="0"/>
    <x v="3"/>
    <x v="9"/>
    <x v="1"/>
    <x v="173"/>
    <n v="5"/>
    <n v="15"/>
    <x v="4"/>
    <x v="2"/>
    <x v="0"/>
    <x v="1"/>
    <x v="0"/>
    <n v="1"/>
    <n v="1"/>
    <n v="1"/>
    <n v="1"/>
    <n v="0"/>
    <n v="4"/>
    <x v="0"/>
  </r>
  <r>
    <x v="183"/>
    <s v="Femi Lawal"/>
    <n v="62"/>
    <x v="1"/>
    <x v="3"/>
    <x v="1"/>
    <n v="41.1"/>
    <n v="149"/>
    <n v="60"/>
    <n v="149"/>
    <n v="206"/>
    <x v="2"/>
    <x v="4"/>
    <x v="7"/>
    <x v="0"/>
    <x v="174"/>
    <n v="0"/>
    <n v="20"/>
    <x v="2"/>
    <x v="0"/>
    <x v="0"/>
    <x v="1"/>
    <x v="0"/>
    <n v="1"/>
    <n v="1"/>
    <n v="0"/>
    <n v="0"/>
    <n v="0"/>
    <n v="2"/>
    <x v="1"/>
  </r>
  <r>
    <x v="184"/>
    <s v="Zainab Igwe"/>
    <n v="30"/>
    <x v="0"/>
    <x v="3"/>
    <x v="6"/>
    <n v="31.7"/>
    <n v="121"/>
    <n v="64"/>
    <n v="151"/>
    <n v="146"/>
    <x v="0"/>
    <x v="5"/>
    <x v="2"/>
    <x v="0"/>
    <x v="45"/>
    <n v="10"/>
    <n v="15"/>
    <x v="2"/>
    <x v="0"/>
    <x v="0"/>
    <x v="2"/>
    <x v="2"/>
    <n v="0"/>
    <n v="1"/>
    <n v="1"/>
    <n v="0"/>
    <n v="0"/>
    <n v="2"/>
    <x v="1"/>
  </r>
  <r>
    <x v="185"/>
    <s v="Bello Obi"/>
    <n v="23"/>
    <x v="0"/>
    <x v="0"/>
    <x v="0"/>
    <n v="22.3"/>
    <n v="102"/>
    <n v="97"/>
    <n v="269"/>
    <n v="113"/>
    <x v="1"/>
    <x v="4"/>
    <x v="7"/>
    <x v="1"/>
    <x v="175"/>
    <n v="1"/>
    <n v="19"/>
    <x v="0"/>
    <x v="1"/>
    <x v="2"/>
    <x v="2"/>
    <x v="0"/>
    <n v="1"/>
    <n v="0"/>
    <n v="0"/>
    <n v="1"/>
    <n v="1"/>
    <n v="3"/>
    <x v="1"/>
  </r>
  <r>
    <x v="186"/>
    <s v="Chukwu Adeyemi"/>
    <n v="29"/>
    <x v="1"/>
    <x v="5"/>
    <x v="1"/>
    <n v="20.100000000000001"/>
    <n v="132"/>
    <n v="90"/>
    <n v="179"/>
    <n v="122"/>
    <x v="0"/>
    <x v="7"/>
    <x v="5"/>
    <x v="0"/>
    <x v="176"/>
    <n v="4"/>
    <n v="13"/>
    <x v="4"/>
    <x v="3"/>
    <x v="2"/>
    <x v="2"/>
    <x v="0"/>
    <n v="1"/>
    <n v="0"/>
    <n v="1"/>
    <n v="1"/>
    <n v="0"/>
    <n v="3"/>
    <x v="1"/>
  </r>
  <r>
    <x v="187"/>
    <s v="Femi Nwosu"/>
    <n v="40"/>
    <x v="0"/>
    <x v="2"/>
    <x v="0"/>
    <n v="22"/>
    <n v="125"/>
    <n v="76"/>
    <n v="273"/>
    <n v="121"/>
    <x v="1"/>
    <x v="1"/>
    <x v="6"/>
    <x v="1"/>
    <x v="177"/>
    <n v="6"/>
    <n v="15"/>
    <x v="2"/>
    <x v="0"/>
    <x v="2"/>
    <x v="0"/>
    <x v="2"/>
    <n v="0"/>
    <n v="0"/>
    <n v="0"/>
    <n v="0"/>
    <n v="1"/>
    <n v="1"/>
    <x v="2"/>
  </r>
  <r>
    <x v="188"/>
    <s v="Chukwu Okafor"/>
    <n v="27"/>
    <x v="0"/>
    <x v="1"/>
    <x v="0"/>
    <n v="20.7"/>
    <n v="111"/>
    <n v="92"/>
    <n v="159"/>
    <n v="95"/>
    <x v="0"/>
    <x v="5"/>
    <x v="0"/>
    <x v="0"/>
    <x v="178"/>
    <n v="1"/>
    <n v="3"/>
    <x v="3"/>
    <x v="0"/>
    <x v="2"/>
    <x v="2"/>
    <x v="0"/>
    <n v="1"/>
    <n v="0"/>
    <n v="1"/>
    <n v="1"/>
    <n v="0"/>
    <n v="3"/>
    <x v="1"/>
  </r>
  <r>
    <x v="189"/>
    <s v="Ada Yakubu"/>
    <n v="42"/>
    <x v="1"/>
    <x v="2"/>
    <x v="1"/>
    <n v="38.299999999999997"/>
    <n v="105"/>
    <n v="60"/>
    <n v="175"/>
    <n v="239"/>
    <x v="1"/>
    <x v="4"/>
    <x v="8"/>
    <x v="0"/>
    <x v="156"/>
    <n v="11"/>
    <n v="10"/>
    <x v="3"/>
    <x v="1"/>
    <x v="0"/>
    <x v="3"/>
    <x v="1"/>
    <n v="0"/>
    <n v="1"/>
    <n v="0"/>
    <n v="1"/>
    <n v="0"/>
    <n v="2"/>
    <x v="1"/>
  </r>
  <r>
    <x v="190"/>
    <s v="Musa Obi"/>
    <n v="51"/>
    <x v="1"/>
    <x v="3"/>
    <x v="0"/>
    <n v="37"/>
    <n v="121"/>
    <n v="67"/>
    <n v="173"/>
    <n v="248"/>
    <x v="0"/>
    <x v="6"/>
    <x v="1"/>
    <x v="1"/>
    <x v="179"/>
    <n v="14"/>
    <n v="5"/>
    <x v="2"/>
    <x v="3"/>
    <x v="0"/>
    <x v="1"/>
    <x v="2"/>
    <n v="0"/>
    <n v="1"/>
    <n v="1"/>
    <n v="0"/>
    <n v="0"/>
    <n v="2"/>
    <x v="1"/>
  </r>
  <r>
    <x v="191"/>
    <s v="Zainab Taiwo"/>
    <n v="23"/>
    <x v="1"/>
    <x v="5"/>
    <x v="0"/>
    <n v="19.8"/>
    <n v="152"/>
    <n v="88"/>
    <n v="151"/>
    <n v="86"/>
    <x v="0"/>
    <x v="5"/>
    <x v="8"/>
    <x v="1"/>
    <x v="180"/>
    <n v="10"/>
    <n v="16"/>
    <x v="1"/>
    <x v="1"/>
    <x v="2"/>
    <x v="2"/>
    <x v="0"/>
    <n v="1"/>
    <n v="0"/>
    <n v="1"/>
    <n v="1"/>
    <n v="0"/>
    <n v="3"/>
    <x v="1"/>
  </r>
  <r>
    <x v="192"/>
    <s v="Chioma Abubakar"/>
    <n v="52"/>
    <x v="0"/>
    <x v="3"/>
    <x v="0"/>
    <n v="38"/>
    <n v="106"/>
    <n v="60"/>
    <n v="180"/>
    <n v="199"/>
    <x v="0"/>
    <x v="5"/>
    <x v="4"/>
    <x v="0"/>
    <x v="181"/>
    <n v="10"/>
    <n v="8"/>
    <x v="0"/>
    <x v="3"/>
    <x v="0"/>
    <x v="1"/>
    <x v="1"/>
    <n v="0"/>
    <n v="1"/>
    <n v="1"/>
    <n v="1"/>
    <n v="0"/>
    <n v="3"/>
    <x v="1"/>
  </r>
  <r>
    <x v="193"/>
    <s v="Uche Hassan"/>
    <n v="46"/>
    <x v="1"/>
    <x v="0"/>
    <x v="1"/>
    <n v="28.5"/>
    <n v="157"/>
    <n v="65"/>
    <n v="267"/>
    <n v="184"/>
    <x v="1"/>
    <x v="0"/>
    <x v="9"/>
    <x v="1"/>
    <x v="182"/>
    <n v="1"/>
    <n v="17"/>
    <x v="1"/>
    <x v="0"/>
    <x v="1"/>
    <x v="3"/>
    <x v="0"/>
    <n v="1"/>
    <n v="0"/>
    <n v="0"/>
    <n v="1"/>
    <n v="1"/>
    <n v="3"/>
    <x v="1"/>
  </r>
  <r>
    <x v="194"/>
    <s v="Ngozi Taiwo"/>
    <n v="61"/>
    <x v="1"/>
    <x v="2"/>
    <x v="6"/>
    <n v="22.2"/>
    <n v="158"/>
    <n v="81"/>
    <n v="233"/>
    <n v="83"/>
    <x v="2"/>
    <x v="5"/>
    <x v="8"/>
    <x v="0"/>
    <x v="183"/>
    <n v="3"/>
    <n v="3"/>
    <x v="2"/>
    <x v="0"/>
    <x v="2"/>
    <x v="1"/>
    <x v="0"/>
    <n v="1"/>
    <n v="0"/>
    <n v="0"/>
    <n v="0"/>
    <n v="1"/>
    <n v="2"/>
    <x v="1"/>
  </r>
  <r>
    <x v="195"/>
    <s v="Chukwu Fashola"/>
    <n v="44"/>
    <x v="1"/>
    <x v="2"/>
    <x v="6"/>
    <n v="26.3"/>
    <n v="113"/>
    <n v="62"/>
    <n v="182"/>
    <n v="196"/>
    <x v="1"/>
    <x v="1"/>
    <x v="1"/>
    <x v="1"/>
    <x v="184"/>
    <n v="12"/>
    <n v="6"/>
    <x v="4"/>
    <x v="0"/>
    <x v="1"/>
    <x v="3"/>
    <x v="1"/>
    <n v="0"/>
    <n v="0"/>
    <n v="0"/>
    <n v="1"/>
    <n v="0"/>
    <n v="1"/>
    <x v="2"/>
  </r>
  <r>
    <x v="196"/>
    <s v="Kola Nwosu"/>
    <n v="48"/>
    <x v="1"/>
    <x v="1"/>
    <x v="1"/>
    <n v="36.299999999999997"/>
    <n v="157"/>
    <n v="89"/>
    <n v="269"/>
    <n v="104"/>
    <x v="0"/>
    <x v="3"/>
    <x v="2"/>
    <x v="1"/>
    <x v="185"/>
    <n v="16"/>
    <n v="5"/>
    <x v="2"/>
    <x v="2"/>
    <x v="0"/>
    <x v="3"/>
    <x v="0"/>
    <n v="1"/>
    <n v="1"/>
    <n v="1"/>
    <n v="0"/>
    <n v="1"/>
    <n v="4"/>
    <x v="0"/>
  </r>
  <r>
    <x v="197"/>
    <s v="Amaka Nwosu"/>
    <n v="46"/>
    <x v="0"/>
    <x v="2"/>
    <x v="1"/>
    <n v="27.5"/>
    <n v="131"/>
    <n v="77"/>
    <n v="241"/>
    <n v="157"/>
    <x v="0"/>
    <x v="5"/>
    <x v="4"/>
    <x v="1"/>
    <x v="186"/>
    <n v="16"/>
    <n v="9"/>
    <x v="1"/>
    <x v="2"/>
    <x v="1"/>
    <x v="3"/>
    <x v="0"/>
    <n v="1"/>
    <n v="0"/>
    <n v="1"/>
    <n v="1"/>
    <n v="1"/>
    <n v="4"/>
    <x v="0"/>
  </r>
  <r>
    <x v="198"/>
    <s v="Dayo Okonkwo"/>
    <n v="34"/>
    <x v="0"/>
    <x v="1"/>
    <x v="4"/>
    <n v="34.200000000000003"/>
    <n v="116"/>
    <n v="105"/>
    <n v="185"/>
    <n v="198"/>
    <x v="1"/>
    <x v="5"/>
    <x v="8"/>
    <x v="0"/>
    <x v="187"/>
    <n v="18"/>
    <n v="18"/>
    <x v="2"/>
    <x v="3"/>
    <x v="0"/>
    <x v="0"/>
    <x v="0"/>
    <n v="1"/>
    <n v="1"/>
    <n v="0"/>
    <n v="0"/>
    <n v="0"/>
    <n v="2"/>
    <x v="1"/>
  </r>
  <r>
    <x v="199"/>
    <s v="Dayo Igwe"/>
    <n v="25"/>
    <x v="0"/>
    <x v="5"/>
    <x v="1"/>
    <n v="20.6"/>
    <n v="134"/>
    <n v="72"/>
    <n v="208"/>
    <n v="111"/>
    <x v="0"/>
    <x v="5"/>
    <x v="6"/>
    <x v="1"/>
    <x v="188"/>
    <n v="9"/>
    <n v="6"/>
    <x v="1"/>
    <x v="0"/>
    <x v="2"/>
    <x v="2"/>
    <x v="0"/>
    <n v="1"/>
    <n v="0"/>
    <n v="1"/>
    <n v="1"/>
    <n v="1"/>
    <n v="4"/>
    <x v="0"/>
  </r>
  <r>
    <x v="200"/>
    <s v="Zainab Dike"/>
    <n v="28"/>
    <x v="0"/>
    <x v="2"/>
    <x v="1"/>
    <n v="22.9"/>
    <n v="136"/>
    <n v="104"/>
    <n v="152"/>
    <n v="167"/>
    <x v="1"/>
    <x v="1"/>
    <x v="8"/>
    <x v="1"/>
    <x v="189"/>
    <n v="6"/>
    <n v="19"/>
    <x v="4"/>
    <x v="0"/>
    <x v="2"/>
    <x v="2"/>
    <x v="0"/>
    <n v="1"/>
    <n v="0"/>
    <n v="0"/>
    <n v="1"/>
    <n v="0"/>
    <n v="2"/>
    <x v="1"/>
  </r>
  <r>
    <x v="201"/>
    <s v="Zainab Onwuka"/>
    <n v="56"/>
    <x v="0"/>
    <x v="0"/>
    <x v="4"/>
    <n v="28.2"/>
    <n v="109"/>
    <n v="71"/>
    <n v="184"/>
    <n v="201"/>
    <x v="1"/>
    <x v="1"/>
    <x v="7"/>
    <x v="1"/>
    <x v="190"/>
    <n v="4"/>
    <n v="5"/>
    <x v="2"/>
    <x v="1"/>
    <x v="1"/>
    <x v="1"/>
    <x v="1"/>
    <n v="0"/>
    <n v="0"/>
    <n v="0"/>
    <n v="0"/>
    <n v="0"/>
    <n v="0"/>
    <x v="2"/>
  </r>
  <r>
    <x v="202"/>
    <s v="Chukwu Fashola"/>
    <n v="51"/>
    <x v="1"/>
    <x v="5"/>
    <x v="0"/>
    <n v="40.200000000000003"/>
    <n v="106"/>
    <n v="100"/>
    <n v="217"/>
    <n v="195"/>
    <x v="3"/>
    <x v="3"/>
    <x v="8"/>
    <x v="0"/>
    <x v="191"/>
    <n v="5"/>
    <n v="16"/>
    <x v="4"/>
    <x v="3"/>
    <x v="0"/>
    <x v="1"/>
    <x v="0"/>
    <n v="1"/>
    <n v="1"/>
    <n v="0"/>
    <n v="1"/>
    <n v="1"/>
    <n v="4"/>
    <x v="0"/>
  </r>
  <r>
    <x v="203"/>
    <s v="Bello Lawal"/>
    <n v="56"/>
    <x v="1"/>
    <x v="2"/>
    <x v="2"/>
    <n v="22.5"/>
    <n v="127"/>
    <n v="102"/>
    <n v="224"/>
    <n v="154"/>
    <x v="1"/>
    <x v="7"/>
    <x v="0"/>
    <x v="0"/>
    <x v="192"/>
    <n v="11"/>
    <n v="14"/>
    <x v="2"/>
    <x v="0"/>
    <x v="2"/>
    <x v="1"/>
    <x v="0"/>
    <n v="1"/>
    <n v="0"/>
    <n v="0"/>
    <n v="0"/>
    <n v="1"/>
    <n v="2"/>
    <x v="1"/>
  </r>
  <r>
    <x v="204"/>
    <s v="Emeka Fashola"/>
    <n v="46"/>
    <x v="0"/>
    <x v="3"/>
    <x v="4"/>
    <n v="30.5"/>
    <n v="136"/>
    <n v="61"/>
    <n v="272"/>
    <n v="165"/>
    <x v="1"/>
    <x v="3"/>
    <x v="9"/>
    <x v="0"/>
    <x v="193"/>
    <n v="6"/>
    <n v="10"/>
    <x v="1"/>
    <x v="1"/>
    <x v="0"/>
    <x v="3"/>
    <x v="0"/>
    <n v="1"/>
    <n v="1"/>
    <n v="0"/>
    <n v="1"/>
    <n v="1"/>
    <n v="4"/>
    <x v="0"/>
  </r>
  <r>
    <x v="205"/>
    <s v="Tunde Aliyu"/>
    <n v="56"/>
    <x v="1"/>
    <x v="2"/>
    <x v="3"/>
    <n v="33.799999999999997"/>
    <n v="127"/>
    <n v="103"/>
    <n v="248"/>
    <n v="96"/>
    <x v="2"/>
    <x v="3"/>
    <x v="5"/>
    <x v="0"/>
    <x v="194"/>
    <n v="10"/>
    <n v="1"/>
    <x v="4"/>
    <x v="1"/>
    <x v="0"/>
    <x v="1"/>
    <x v="0"/>
    <n v="1"/>
    <n v="1"/>
    <n v="0"/>
    <n v="1"/>
    <n v="1"/>
    <n v="4"/>
    <x v="0"/>
  </r>
  <r>
    <x v="206"/>
    <s v="Emeka Aliyu"/>
    <n v="38"/>
    <x v="0"/>
    <x v="1"/>
    <x v="3"/>
    <n v="39.799999999999997"/>
    <n v="152"/>
    <n v="84"/>
    <n v="255"/>
    <n v="231"/>
    <x v="1"/>
    <x v="1"/>
    <x v="8"/>
    <x v="1"/>
    <x v="195"/>
    <n v="17"/>
    <n v="0"/>
    <x v="2"/>
    <x v="1"/>
    <x v="0"/>
    <x v="0"/>
    <x v="0"/>
    <n v="1"/>
    <n v="1"/>
    <n v="0"/>
    <n v="0"/>
    <n v="1"/>
    <n v="3"/>
    <x v="1"/>
  </r>
  <r>
    <x v="207"/>
    <s v="Nkem Adeyemi"/>
    <n v="26"/>
    <x v="0"/>
    <x v="2"/>
    <x v="1"/>
    <n v="24.2"/>
    <n v="138"/>
    <n v="98"/>
    <n v="162"/>
    <n v="142"/>
    <x v="0"/>
    <x v="1"/>
    <x v="5"/>
    <x v="1"/>
    <x v="196"/>
    <n v="7"/>
    <n v="4"/>
    <x v="0"/>
    <x v="3"/>
    <x v="2"/>
    <x v="2"/>
    <x v="0"/>
    <n v="1"/>
    <n v="0"/>
    <n v="1"/>
    <n v="1"/>
    <n v="0"/>
    <n v="3"/>
    <x v="1"/>
  </r>
  <r>
    <x v="208"/>
    <s v="Ada Eze"/>
    <n v="41"/>
    <x v="0"/>
    <x v="5"/>
    <x v="6"/>
    <n v="38.9"/>
    <n v="118"/>
    <n v="67"/>
    <n v="150"/>
    <n v="71"/>
    <x v="3"/>
    <x v="3"/>
    <x v="5"/>
    <x v="0"/>
    <x v="197"/>
    <n v="11"/>
    <n v="6"/>
    <x v="0"/>
    <x v="3"/>
    <x v="0"/>
    <x v="3"/>
    <x v="1"/>
    <n v="0"/>
    <n v="1"/>
    <n v="0"/>
    <n v="1"/>
    <n v="0"/>
    <n v="2"/>
    <x v="1"/>
  </r>
  <r>
    <x v="209"/>
    <s v="Amaka Aliyu"/>
    <n v="33"/>
    <x v="0"/>
    <x v="1"/>
    <x v="4"/>
    <n v="21.9"/>
    <n v="123"/>
    <n v="102"/>
    <n v="153"/>
    <n v="210"/>
    <x v="0"/>
    <x v="5"/>
    <x v="2"/>
    <x v="0"/>
    <x v="87"/>
    <n v="3"/>
    <n v="6"/>
    <x v="2"/>
    <x v="3"/>
    <x v="2"/>
    <x v="0"/>
    <x v="0"/>
    <n v="1"/>
    <n v="0"/>
    <n v="1"/>
    <n v="0"/>
    <n v="0"/>
    <n v="2"/>
    <x v="1"/>
  </r>
  <r>
    <x v="210"/>
    <s v="Kola Yakubu"/>
    <n v="30"/>
    <x v="0"/>
    <x v="2"/>
    <x v="4"/>
    <n v="32.5"/>
    <n v="124"/>
    <n v="80"/>
    <n v="264"/>
    <n v="185"/>
    <x v="1"/>
    <x v="3"/>
    <x v="6"/>
    <x v="1"/>
    <x v="198"/>
    <n v="5"/>
    <n v="0"/>
    <x v="2"/>
    <x v="0"/>
    <x v="0"/>
    <x v="2"/>
    <x v="0"/>
    <n v="1"/>
    <n v="1"/>
    <n v="0"/>
    <n v="0"/>
    <n v="1"/>
    <n v="3"/>
    <x v="1"/>
  </r>
  <r>
    <x v="211"/>
    <s v="Uche Lawal"/>
    <n v="39"/>
    <x v="0"/>
    <x v="1"/>
    <x v="2"/>
    <n v="38.9"/>
    <n v="159"/>
    <n v="88"/>
    <n v="231"/>
    <n v="148"/>
    <x v="0"/>
    <x v="3"/>
    <x v="1"/>
    <x v="1"/>
    <x v="55"/>
    <n v="4"/>
    <n v="17"/>
    <x v="2"/>
    <x v="1"/>
    <x v="0"/>
    <x v="0"/>
    <x v="0"/>
    <n v="1"/>
    <n v="1"/>
    <n v="1"/>
    <n v="0"/>
    <n v="1"/>
    <n v="4"/>
    <x v="0"/>
  </r>
  <r>
    <x v="212"/>
    <s v="Ngozi Balogun"/>
    <n v="23"/>
    <x v="1"/>
    <x v="1"/>
    <x v="5"/>
    <n v="27.1"/>
    <n v="127"/>
    <n v="62"/>
    <n v="206"/>
    <n v="209"/>
    <x v="1"/>
    <x v="5"/>
    <x v="4"/>
    <x v="0"/>
    <x v="199"/>
    <n v="18"/>
    <n v="9"/>
    <x v="3"/>
    <x v="3"/>
    <x v="1"/>
    <x v="2"/>
    <x v="2"/>
    <n v="0"/>
    <n v="0"/>
    <n v="0"/>
    <n v="1"/>
    <n v="1"/>
    <n v="2"/>
    <x v="1"/>
  </r>
  <r>
    <x v="213"/>
    <s v="Blessing Mbeki"/>
    <n v="27"/>
    <x v="1"/>
    <x v="6"/>
    <x v="6"/>
    <n v="17.3"/>
    <n v="130"/>
    <n v="99"/>
    <n v="182"/>
    <n v="201"/>
    <x v="1"/>
    <x v="5"/>
    <x v="4"/>
    <x v="1"/>
    <x v="200"/>
    <n v="15"/>
    <n v="11"/>
    <x v="0"/>
    <x v="0"/>
    <x v="3"/>
    <x v="2"/>
    <x v="0"/>
    <n v="1"/>
    <n v="0"/>
    <n v="0"/>
    <n v="1"/>
    <n v="0"/>
    <n v="2"/>
    <x v="1"/>
  </r>
  <r>
    <x v="214"/>
    <s v="Ibrahim Abubakar"/>
    <n v="26"/>
    <x v="1"/>
    <x v="6"/>
    <x v="3"/>
    <n v="18.100000000000001"/>
    <n v="126"/>
    <n v="93"/>
    <n v="232"/>
    <n v="169"/>
    <x v="0"/>
    <x v="5"/>
    <x v="7"/>
    <x v="1"/>
    <x v="201"/>
    <n v="16"/>
    <n v="20"/>
    <x v="2"/>
    <x v="1"/>
    <x v="3"/>
    <x v="2"/>
    <x v="0"/>
    <n v="1"/>
    <n v="0"/>
    <n v="1"/>
    <n v="0"/>
    <n v="1"/>
    <n v="3"/>
    <x v="1"/>
  </r>
  <r>
    <x v="215"/>
    <s v="Nkem Hassan"/>
    <n v="58"/>
    <x v="1"/>
    <x v="3"/>
    <x v="1"/>
    <n v="26.1"/>
    <n v="109"/>
    <n v="93"/>
    <n v="204"/>
    <n v="166"/>
    <x v="2"/>
    <x v="3"/>
    <x v="5"/>
    <x v="0"/>
    <x v="202"/>
    <n v="15"/>
    <n v="19"/>
    <x v="0"/>
    <x v="3"/>
    <x v="1"/>
    <x v="1"/>
    <x v="0"/>
    <n v="1"/>
    <n v="0"/>
    <n v="0"/>
    <n v="1"/>
    <n v="1"/>
    <n v="3"/>
    <x v="1"/>
  </r>
  <r>
    <x v="216"/>
    <s v="Amaka Dike"/>
    <n v="32"/>
    <x v="0"/>
    <x v="2"/>
    <x v="6"/>
    <n v="33.1"/>
    <n v="127"/>
    <n v="69"/>
    <n v="187"/>
    <n v="110"/>
    <x v="1"/>
    <x v="3"/>
    <x v="1"/>
    <x v="0"/>
    <x v="203"/>
    <n v="3"/>
    <n v="15"/>
    <x v="2"/>
    <x v="3"/>
    <x v="0"/>
    <x v="0"/>
    <x v="2"/>
    <n v="0"/>
    <n v="1"/>
    <n v="0"/>
    <n v="0"/>
    <n v="0"/>
    <n v="1"/>
    <x v="2"/>
  </r>
  <r>
    <x v="217"/>
    <s v="Ibrahim Okonkwo"/>
    <n v="59"/>
    <x v="1"/>
    <x v="3"/>
    <x v="2"/>
    <n v="23.1"/>
    <n v="116"/>
    <n v="96"/>
    <n v="181"/>
    <n v="104"/>
    <x v="1"/>
    <x v="3"/>
    <x v="3"/>
    <x v="1"/>
    <x v="204"/>
    <n v="5"/>
    <n v="16"/>
    <x v="0"/>
    <x v="0"/>
    <x v="2"/>
    <x v="1"/>
    <x v="0"/>
    <n v="1"/>
    <n v="0"/>
    <n v="0"/>
    <n v="1"/>
    <n v="0"/>
    <n v="2"/>
    <x v="1"/>
  </r>
  <r>
    <x v="218"/>
    <s v="Ada Balogun"/>
    <n v="35"/>
    <x v="0"/>
    <x v="1"/>
    <x v="0"/>
    <n v="38.700000000000003"/>
    <n v="121"/>
    <n v="74"/>
    <n v="245"/>
    <n v="223"/>
    <x v="1"/>
    <x v="3"/>
    <x v="4"/>
    <x v="1"/>
    <x v="205"/>
    <n v="10"/>
    <n v="14"/>
    <x v="2"/>
    <x v="1"/>
    <x v="0"/>
    <x v="0"/>
    <x v="2"/>
    <n v="0"/>
    <n v="1"/>
    <n v="0"/>
    <n v="0"/>
    <n v="1"/>
    <n v="2"/>
    <x v="1"/>
  </r>
  <r>
    <x v="219"/>
    <s v="Uche Obi"/>
    <n v="46"/>
    <x v="1"/>
    <x v="2"/>
    <x v="2"/>
    <n v="22.1"/>
    <n v="164"/>
    <n v="103"/>
    <n v="213"/>
    <n v="108"/>
    <x v="3"/>
    <x v="0"/>
    <x v="4"/>
    <x v="0"/>
    <x v="206"/>
    <n v="3"/>
    <n v="2"/>
    <x v="4"/>
    <x v="2"/>
    <x v="2"/>
    <x v="3"/>
    <x v="0"/>
    <n v="1"/>
    <n v="0"/>
    <n v="0"/>
    <n v="1"/>
    <n v="1"/>
    <n v="3"/>
    <x v="1"/>
  </r>
  <r>
    <x v="220"/>
    <s v="Femi Hassan"/>
    <n v="22"/>
    <x v="1"/>
    <x v="2"/>
    <x v="1"/>
    <n v="26.3"/>
    <n v="105"/>
    <n v="104"/>
    <n v="275"/>
    <n v="179"/>
    <x v="2"/>
    <x v="5"/>
    <x v="5"/>
    <x v="0"/>
    <x v="164"/>
    <n v="8"/>
    <n v="15"/>
    <x v="2"/>
    <x v="1"/>
    <x v="1"/>
    <x v="2"/>
    <x v="0"/>
    <n v="1"/>
    <n v="0"/>
    <n v="0"/>
    <n v="0"/>
    <n v="1"/>
    <n v="2"/>
    <x v="1"/>
  </r>
  <r>
    <x v="221"/>
    <s v="Ada Taiwo"/>
    <n v="56"/>
    <x v="1"/>
    <x v="4"/>
    <x v="3"/>
    <n v="17.100000000000001"/>
    <n v="100"/>
    <n v="96"/>
    <n v="273"/>
    <n v="100"/>
    <x v="1"/>
    <x v="3"/>
    <x v="5"/>
    <x v="0"/>
    <x v="207"/>
    <n v="3"/>
    <n v="4"/>
    <x v="0"/>
    <x v="1"/>
    <x v="3"/>
    <x v="1"/>
    <x v="0"/>
    <n v="1"/>
    <n v="0"/>
    <n v="0"/>
    <n v="1"/>
    <n v="1"/>
    <n v="3"/>
    <x v="1"/>
  </r>
  <r>
    <x v="222"/>
    <s v="Seun Hassan"/>
    <n v="49"/>
    <x v="0"/>
    <x v="1"/>
    <x v="4"/>
    <n v="41.8"/>
    <n v="150"/>
    <n v="73"/>
    <n v="245"/>
    <n v="211"/>
    <x v="1"/>
    <x v="5"/>
    <x v="4"/>
    <x v="0"/>
    <x v="208"/>
    <n v="18"/>
    <n v="11"/>
    <x v="0"/>
    <x v="2"/>
    <x v="0"/>
    <x v="3"/>
    <x v="0"/>
    <n v="1"/>
    <n v="1"/>
    <n v="0"/>
    <n v="1"/>
    <n v="1"/>
    <n v="4"/>
    <x v="0"/>
  </r>
  <r>
    <x v="223"/>
    <s v="Tunde Abubakar"/>
    <n v="50"/>
    <x v="1"/>
    <x v="2"/>
    <x v="3"/>
    <n v="29.7"/>
    <n v="143"/>
    <n v="95"/>
    <n v="153"/>
    <n v="111"/>
    <x v="1"/>
    <x v="5"/>
    <x v="7"/>
    <x v="0"/>
    <x v="209"/>
    <n v="13"/>
    <n v="2"/>
    <x v="4"/>
    <x v="1"/>
    <x v="1"/>
    <x v="3"/>
    <x v="0"/>
    <n v="1"/>
    <n v="0"/>
    <n v="0"/>
    <n v="1"/>
    <n v="0"/>
    <n v="2"/>
    <x v="1"/>
  </r>
  <r>
    <x v="224"/>
    <s v="Uche Yakubu"/>
    <n v="27"/>
    <x v="1"/>
    <x v="3"/>
    <x v="1"/>
    <n v="32.299999999999997"/>
    <n v="166"/>
    <n v="78"/>
    <n v="154"/>
    <n v="114"/>
    <x v="0"/>
    <x v="5"/>
    <x v="10"/>
    <x v="0"/>
    <x v="210"/>
    <n v="19"/>
    <n v="16"/>
    <x v="1"/>
    <x v="0"/>
    <x v="0"/>
    <x v="2"/>
    <x v="0"/>
    <n v="1"/>
    <n v="1"/>
    <n v="1"/>
    <n v="1"/>
    <n v="0"/>
    <n v="4"/>
    <x v="0"/>
  </r>
  <r>
    <x v="225"/>
    <s v="Femi Aliyu"/>
    <n v="24"/>
    <x v="0"/>
    <x v="0"/>
    <x v="2"/>
    <n v="41.4"/>
    <n v="111"/>
    <n v="77"/>
    <n v="242"/>
    <n v="160"/>
    <x v="1"/>
    <x v="1"/>
    <x v="3"/>
    <x v="0"/>
    <x v="211"/>
    <n v="2"/>
    <n v="2"/>
    <x v="1"/>
    <x v="1"/>
    <x v="0"/>
    <x v="2"/>
    <x v="1"/>
    <n v="0"/>
    <n v="1"/>
    <n v="0"/>
    <n v="1"/>
    <n v="1"/>
    <n v="3"/>
    <x v="1"/>
  </r>
  <r>
    <x v="226"/>
    <s v="Dayo Onwuka"/>
    <n v="44"/>
    <x v="0"/>
    <x v="4"/>
    <x v="3"/>
    <n v="32.200000000000003"/>
    <n v="124"/>
    <n v="89"/>
    <n v="243"/>
    <n v="217"/>
    <x v="0"/>
    <x v="7"/>
    <x v="4"/>
    <x v="1"/>
    <x v="212"/>
    <n v="16"/>
    <n v="9"/>
    <x v="2"/>
    <x v="1"/>
    <x v="0"/>
    <x v="3"/>
    <x v="0"/>
    <n v="1"/>
    <n v="1"/>
    <n v="1"/>
    <n v="0"/>
    <n v="1"/>
    <n v="4"/>
    <x v="0"/>
  </r>
  <r>
    <x v="227"/>
    <s v="Blessing Olawale"/>
    <n v="56"/>
    <x v="1"/>
    <x v="5"/>
    <x v="1"/>
    <n v="31.1"/>
    <n v="131"/>
    <n v="81"/>
    <n v="257"/>
    <n v="244"/>
    <x v="0"/>
    <x v="3"/>
    <x v="7"/>
    <x v="0"/>
    <x v="213"/>
    <n v="12"/>
    <n v="20"/>
    <x v="2"/>
    <x v="0"/>
    <x v="0"/>
    <x v="1"/>
    <x v="0"/>
    <n v="1"/>
    <n v="1"/>
    <n v="1"/>
    <n v="0"/>
    <n v="1"/>
    <n v="4"/>
    <x v="0"/>
  </r>
  <r>
    <x v="228"/>
    <s v="Kola Lawal"/>
    <n v="44"/>
    <x v="1"/>
    <x v="4"/>
    <x v="3"/>
    <n v="24.2"/>
    <n v="151"/>
    <n v="103"/>
    <n v="227"/>
    <n v="89"/>
    <x v="1"/>
    <x v="6"/>
    <x v="9"/>
    <x v="0"/>
    <x v="214"/>
    <n v="8"/>
    <n v="5"/>
    <x v="2"/>
    <x v="0"/>
    <x v="2"/>
    <x v="3"/>
    <x v="0"/>
    <n v="1"/>
    <n v="0"/>
    <n v="0"/>
    <n v="0"/>
    <n v="1"/>
    <n v="2"/>
    <x v="1"/>
  </r>
  <r>
    <x v="229"/>
    <s v="Ibrahim Okonkwo"/>
    <n v="37"/>
    <x v="0"/>
    <x v="4"/>
    <x v="3"/>
    <n v="22.7"/>
    <n v="131"/>
    <n v="99"/>
    <n v="231"/>
    <n v="109"/>
    <x v="1"/>
    <x v="0"/>
    <x v="1"/>
    <x v="0"/>
    <x v="215"/>
    <n v="15"/>
    <n v="11"/>
    <x v="2"/>
    <x v="2"/>
    <x v="2"/>
    <x v="0"/>
    <x v="0"/>
    <n v="1"/>
    <n v="0"/>
    <n v="0"/>
    <n v="0"/>
    <n v="1"/>
    <n v="2"/>
    <x v="1"/>
  </r>
  <r>
    <x v="230"/>
    <s v="Ibrahim Onwuka"/>
    <n v="39"/>
    <x v="0"/>
    <x v="1"/>
    <x v="6"/>
    <n v="24"/>
    <n v="128"/>
    <n v="96"/>
    <n v="172"/>
    <n v="83"/>
    <x v="1"/>
    <x v="1"/>
    <x v="9"/>
    <x v="1"/>
    <x v="216"/>
    <n v="5"/>
    <n v="14"/>
    <x v="4"/>
    <x v="3"/>
    <x v="2"/>
    <x v="0"/>
    <x v="0"/>
    <n v="1"/>
    <n v="0"/>
    <n v="0"/>
    <n v="1"/>
    <n v="0"/>
    <n v="2"/>
    <x v="1"/>
  </r>
  <r>
    <x v="231"/>
    <s v="Ayo Fashola"/>
    <n v="22"/>
    <x v="1"/>
    <x v="0"/>
    <x v="1"/>
    <n v="31.5"/>
    <n v="141"/>
    <n v="83"/>
    <n v="206"/>
    <n v="117"/>
    <x v="1"/>
    <x v="7"/>
    <x v="0"/>
    <x v="1"/>
    <x v="217"/>
    <n v="11"/>
    <n v="5"/>
    <x v="4"/>
    <x v="3"/>
    <x v="0"/>
    <x v="2"/>
    <x v="0"/>
    <n v="1"/>
    <n v="1"/>
    <n v="0"/>
    <n v="1"/>
    <n v="1"/>
    <n v="4"/>
    <x v="0"/>
  </r>
  <r>
    <x v="232"/>
    <s v="Fatima Lawal"/>
    <n v="45"/>
    <x v="0"/>
    <x v="3"/>
    <x v="4"/>
    <n v="28.3"/>
    <n v="116"/>
    <n v="96"/>
    <n v="198"/>
    <n v="95"/>
    <x v="0"/>
    <x v="2"/>
    <x v="2"/>
    <x v="1"/>
    <x v="218"/>
    <n v="4"/>
    <n v="15"/>
    <x v="0"/>
    <x v="2"/>
    <x v="1"/>
    <x v="3"/>
    <x v="0"/>
    <n v="1"/>
    <n v="0"/>
    <n v="1"/>
    <n v="1"/>
    <n v="0"/>
    <n v="3"/>
    <x v="1"/>
  </r>
  <r>
    <x v="233"/>
    <s v="Chioma Sule"/>
    <n v="30"/>
    <x v="0"/>
    <x v="5"/>
    <x v="4"/>
    <n v="23.3"/>
    <n v="106"/>
    <n v="85"/>
    <n v="165"/>
    <n v="246"/>
    <x v="1"/>
    <x v="3"/>
    <x v="0"/>
    <x v="1"/>
    <x v="195"/>
    <n v="14"/>
    <n v="10"/>
    <x v="2"/>
    <x v="2"/>
    <x v="2"/>
    <x v="2"/>
    <x v="0"/>
    <n v="1"/>
    <n v="0"/>
    <n v="0"/>
    <n v="0"/>
    <n v="0"/>
    <n v="1"/>
    <x v="2"/>
  </r>
  <r>
    <x v="234"/>
    <s v="Zainab Hassan"/>
    <n v="57"/>
    <x v="1"/>
    <x v="6"/>
    <x v="2"/>
    <n v="27.3"/>
    <n v="144"/>
    <n v="103"/>
    <n v="190"/>
    <n v="217"/>
    <x v="3"/>
    <x v="5"/>
    <x v="2"/>
    <x v="1"/>
    <x v="24"/>
    <n v="16"/>
    <n v="15"/>
    <x v="4"/>
    <x v="1"/>
    <x v="1"/>
    <x v="1"/>
    <x v="0"/>
    <n v="1"/>
    <n v="0"/>
    <n v="0"/>
    <n v="1"/>
    <n v="0"/>
    <n v="2"/>
    <x v="1"/>
  </r>
  <r>
    <x v="235"/>
    <s v="Musa Taiwo"/>
    <n v="40"/>
    <x v="0"/>
    <x v="1"/>
    <x v="0"/>
    <n v="33"/>
    <n v="143"/>
    <n v="86"/>
    <n v="243"/>
    <n v="88"/>
    <x v="1"/>
    <x v="6"/>
    <x v="8"/>
    <x v="0"/>
    <x v="219"/>
    <n v="9"/>
    <n v="8"/>
    <x v="2"/>
    <x v="3"/>
    <x v="0"/>
    <x v="0"/>
    <x v="0"/>
    <n v="1"/>
    <n v="1"/>
    <n v="0"/>
    <n v="0"/>
    <n v="1"/>
    <n v="3"/>
    <x v="1"/>
  </r>
  <r>
    <x v="236"/>
    <s v="Seun Dike"/>
    <n v="45"/>
    <x v="0"/>
    <x v="3"/>
    <x v="0"/>
    <n v="21.6"/>
    <n v="102"/>
    <n v="68"/>
    <n v="200"/>
    <n v="239"/>
    <x v="0"/>
    <x v="0"/>
    <x v="0"/>
    <x v="1"/>
    <x v="220"/>
    <n v="2"/>
    <n v="15"/>
    <x v="1"/>
    <x v="0"/>
    <x v="2"/>
    <x v="3"/>
    <x v="1"/>
    <n v="0"/>
    <n v="0"/>
    <n v="1"/>
    <n v="1"/>
    <n v="0"/>
    <n v="2"/>
    <x v="1"/>
  </r>
  <r>
    <x v="237"/>
    <s v="Chukwu Obi"/>
    <n v="55"/>
    <x v="0"/>
    <x v="2"/>
    <x v="4"/>
    <n v="32.5"/>
    <n v="110"/>
    <n v="101"/>
    <n v="239"/>
    <n v="149"/>
    <x v="2"/>
    <x v="2"/>
    <x v="6"/>
    <x v="0"/>
    <x v="221"/>
    <n v="5"/>
    <n v="0"/>
    <x v="0"/>
    <x v="2"/>
    <x v="0"/>
    <x v="1"/>
    <x v="0"/>
    <n v="1"/>
    <n v="1"/>
    <n v="0"/>
    <n v="1"/>
    <n v="1"/>
    <n v="4"/>
    <x v="0"/>
  </r>
  <r>
    <x v="238"/>
    <s v="Kola Sule"/>
    <n v="51"/>
    <x v="1"/>
    <x v="2"/>
    <x v="0"/>
    <n v="20.399999999999999"/>
    <n v="169"/>
    <n v="71"/>
    <n v="256"/>
    <n v="231"/>
    <x v="3"/>
    <x v="1"/>
    <x v="2"/>
    <x v="1"/>
    <x v="222"/>
    <n v="7"/>
    <n v="2"/>
    <x v="4"/>
    <x v="1"/>
    <x v="2"/>
    <x v="1"/>
    <x v="0"/>
    <n v="1"/>
    <n v="0"/>
    <n v="0"/>
    <n v="1"/>
    <n v="1"/>
    <n v="3"/>
    <x v="1"/>
  </r>
  <r>
    <x v="239"/>
    <s v="Zainab Lawal"/>
    <n v="38"/>
    <x v="1"/>
    <x v="4"/>
    <x v="2"/>
    <n v="17"/>
    <n v="134"/>
    <n v="82"/>
    <n v="213"/>
    <n v="190"/>
    <x v="1"/>
    <x v="3"/>
    <x v="9"/>
    <x v="0"/>
    <x v="87"/>
    <n v="0"/>
    <n v="19"/>
    <x v="0"/>
    <x v="3"/>
    <x v="3"/>
    <x v="0"/>
    <x v="0"/>
    <n v="1"/>
    <n v="0"/>
    <n v="0"/>
    <n v="1"/>
    <n v="1"/>
    <n v="3"/>
    <x v="1"/>
  </r>
  <r>
    <x v="240"/>
    <s v="Zainab Okonkwo"/>
    <n v="48"/>
    <x v="1"/>
    <x v="3"/>
    <x v="3"/>
    <n v="21.1"/>
    <n v="149"/>
    <n v="84"/>
    <n v="196"/>
    <n v="137"/>
    <x v="1"/>
    <x v="1"/>
    <x v="0"/>
    <x v="1"/>
    <x v="223"/>
    <n v="17"/>
    <n v="8"/>
    <x v="0"/>
    <x v="0"/>
    <x v="2"/>
    <x v="3"/>
    <x v="0"/>
    <n v="1"/>
    <n v="0"/>
    <n v="0"/>
    <n v="1"/>
    <n v="0"/>
    <n v="2"/>
    <x v="1"/>
  </r>
  <r>
    <x v="241"/>
    <s v="Ngozi Aliyu"/>
    <n v="30"/>
    <x v="1"/>
    <x v="2"/>
    <x v="0"/>
    <n v="32.4"/>
    <n v="134"/>
    <n v="104"/>
    <n v="265"/>
    <n v="118"/>
    <x v="1"/>
    <x v="3"/>
    <x v="4"/>
    <x v="1"/>
    <x v="224"/>
    <n v="9"/>
    <n v="8"/>
    <x v="3"/>
    <x v="3"/>
    <x v="0"/>
    <x v="2"/>
    <x v="0"/>
    <n v="1"/>
    <n v="1"/>
    <n v="0"/>
    <n v="1"/>
    <n v="1"/>
    <n v="4"/>
    <x v="0"/>
  </r>
  <r>
    <x v="242"/>
    <s v="Chukwu Abubakar"/>
    <n v="27"/>
    <x v="1"/>
    <x v="5"/>
    <x v="0"/>
    <n v="22.4"/>
    <n v="153"/>
    <n v="79"/>
    <n v="267"/>
    <n v="165"/>
    <x v="0"/>
    <x v="3"/>
    <x v="8"/>
    <x v="0"/>
    <x v="225"/>
    <n v="12"/>
    <n v="2"/>
    <x v="1"/>
    <x v="3"/>
    <x v="2"/>
    <x v="2"/>
    <x v="0"/>
    <n v="1"/>
    <n v="0"/>
    <n v="1"/>
    <n v="1"/>
    <n v="1"/>
    <n v="4"/>
    <x v="0"/>
  </r>
  <r>
    <x v="243"/>
    <s v="Bello Okonkwo"/>
    <n v="38"/>
    <x v="1"/>
    <x v="5"/>
    <x v="1"/>
    <n v="41.4"/>
    <n v="131"/>
    <n v="84"/>
    <n v="253"/>
    <n v="133"/>
    <x v="0"/>
    <x v="2"/>
    <x v="9"/>
    <x v="0"/>
    <x v="226"/>
    <n v="9"/>
    <n v="10"/>
    <x v="3"/>
    <x v="0"/>
    <x v="0"/>
    <x v="0"/>
    <x v="0"/>
    <n v="1"/>
    <n v="1"/>
    <n v="1"/>
    <n v="1"/>
    <n v="1"/>
    <n v="5"/>
    <x v="0"/>
  </r>
  <r>
    <x v="244"/>
    <s v="Dayo Mbeki"/>
    <n v="29"/>
    <x v="1"/>
    <x v="5"/>
    <x v="4"/>
    <n v="22"/>
    <n v="106"/>
    <n v="102"/>
    <n v="195"/>
    <n v="98"/>
    <x v="2"/>
    <x v="5"/>
    <x v="5"/>
    <x v="0"/>
    <x v="227"/>
    <n v="8"/>
    <n v="18"/>
    <x v="4"/>
    <x v="3"/>
    <x v="2"/>
    <x v="2"/>
    <x v="0"/>
    <n v="1"/>
    <n v="0"/>
    <n v="0"/>
    <n v="1"/>
    <n v="0"/>
    <n v="2"/>
    <x v="1"/>
  </r>
  <r>
    <x v="245"/>
    <s v="Uche Okafor"/>
    <n v="24"/>
    <x v="0"/>
    <x v="1"/>
    <x v="0"/>
    <n v="26.3"/>
    <n v="111"/>
    <n v="75"/>
    <n v="180"/>
    <n v="197"/>
    <x v="1"/>
    <x v="5"/>
    <x v="3"/>
    <x v="0"/>
    <x v="228"/>
    <n v="20"/>
    <n v="4"/>
    <x v="1"/>
    <x v="1"/>
    <x v="1"/>
    <x v="2"/>
    <x v="1"/>
    <n v="0"/>
    <n v="0"/>
    <n v="0"/>
    <n v="1"/>
    <n v="0"/>
    <n v="1"/>
    <x v="2"/>
  </r>
  <r>
    <x v="246"/>
    <s v="Amaka Sule"/>
    <n v="36"/>
    <x v="0"/>
    <x v="2"/>
    <x v="2"/>
    <n v="37.1"/>
    <n v="156"/>
    <n v="72"/>
    <n v="145"/>
    <n v="246"/>
    <x v="1"/>
    <x v="4"/>
    <x v="4"/>
    <x v="1"/>
    <x v="38"/>
    <n v="14"/>
    <n v="17"/>
    <x v="2"/>
    <x v="3"/>
    <x v="0"/>
    <x v="0"/>
    <x v="0"/>
    <n v="1"/>
    <n v="1"/>
    <n v="0"/>
    <n v="0"/>
    <n v="0"/>
    <n v="2"/>
    <x v="1"/>
  </r>
  <r>
    <x v="247"/>
    <s v="Ibrahim Okonkwo"/>
    <n v="58"/>
    <x v="1"/>
    <x v="2"/>
    <x v="2"/>
    <n v="25.1"/>
    <n v="159"/>
    <n v="77"/>
    <n v="181"/>
    <n v="87"/>
    <x v="1"/>
    <x v="6"/>
    <x v="9"/>
    <x v="1"/>
    <x v="229"/>
    <n v="14"/>
    <n v="0"/>
    <x v="2"/>
    <x v="3"/>
    <x v="1"/>
    <x v="1"/>
    <x v="0"/>
    <n v="1"/>
    <n v="0"/>
    <n v="0"/>
    <n v="0"/>
    <n v="0"/>
    <n v="1"/>
    <x v="2"/>
  </r>
  <r>
    <x v="248"/>
    <s v="Musa Aliyu"/>
    <n v="23"/>
    <x v="0"/>
    <x v="1"/>
    <x v="3"/>
    <n v="25"/>
    <n v="108"/>
    <n v="102"/>
    <n v="277"/>
    <n v="169"/>
    <x v="2"/>
    <x v="3"/>
    <x v="9"/>
    <x v="1"/>
    <x v="198"/>
    <n v="20"/>
    <n v="10"/>
    <x v="4"/>
    <x v="1"/>
    <x v="1"/>
    <x v="2"/>
    <x v="0"/>
    <n v="1"/>
    <n v="0"/>
    <n v="0"/>
    <n v="1"/>
    <n v="1"/>
    <n v="3"/>
    <x v="1"/>
  </r>
  <r>
    <x v="249"/>
    <s v="Blessing Balogun"/>
    <n v="24"/>
    <x v="1"/>
    <x v="1"/>
    <x v="2"/>
    <n v="22.1"/>
    <n v="162"/>
    <n v="72"/>
    <n v="165"/>
    <n v="78"/>
    <x v="3"/>
    <x v="5"/>
    <x v="5"/>
    <x v="0"/>
    <x v="230"/>
    <n v="7"/>
    <n v="19"/>
    <x v="4"/>
    <x v="0"/>
    <x v="2"/>
    <x v="2"/>
    <x v="0"/>
    <n v="1"/>
    <n v="0"/>
    <n v="0"/>
    <n v="1"/>
    <n v="0"/>
    <n v="2"/>
    <x v="1"/>
  </r>
  <r>
    <x v="250"/>
    <s v="Fatima Sule"/>
    <n v="27"/>
    <x v="0"/>
    <x v="5"/>
    <x v="2"/>
    <n v="31"/>
    <n v="153"/>
    <n v="83"/>
    <n v="154"/>
    <n v="227"/>
    <x v="0"/>
    <x v="3"/>
    <x v="7"/>
    <x v="0"/>
    <x v="231"/>
    <n v="16"/>
    <n v="3"/>
    <x v="4"/>
    <x v="0"/>
    <x v="0"/>
    <x v="2"/>
    <x v="0"/>
    <n v="1"/>
    <n v="1"/>
    <n v="1"/>
    <n v="1"/>
    <n v="0"/>
    <n v="4"/>
    <x v="0"/>
  </r>
  <r>
    <x v="251"/>
    <s v="Dayo Obi"/>
    <n v="34"/>
    <x v="0"/>
    <x v="2"/>
    <x v="3"/>
    <n v="31.3"/>
    <n v="122"/>
    <n v="95"/>
    <n v="246"/>
    <n v="97"/>
    <x v="3"/>
    <x v="4"/>
    <x v="9"/>
    <x v="1"/>
    <x v="227"/>
    <n v="5"/>
    <n v="17"/>
    <x v="0"/>
    <x v="3"/>
    <x v="0"/>
    <x v="0"/>
    <x v="0"/>
    <n v="1"/>
    <n v="1"/>
    <n v="0"/>
    <n v="1"/>
    <n v="1"/>
    <n v="4"/>
    <x v="0"/>
  </r>
  <r>
    <x v="252"/>
    <s v="Kola Aliyu"/>
    <n v="56"/>
    <x v="0"/>
    <x v="6"/>
    <x v="2"/>
    <n v="30.8"/>
    <n v="141"/>
    <n v="83"/>
    <n v="245"/>
    <n v="232"/>
    <x v="1"/>
    <x v="4"/>
    <x v="3"/>
    <x v="0"/>
    <x v="232"/>
    <n v="17"/>
    <n v="8"/>
    <x v="2"/>
    <x v="3"/>
    <x v="0"/>
    <x v="1"/>
    <x v="0"/>
    <n v="1"/>
    <n v="1"/>
    <n v="0"/>
    <n v="0"/>
    <n v="1"/>
    <n v="3"/>
    <x v="1"/>
  </r>
  <r>
    <x v="253"/>
    <s v="Ayo Obi"/>
    <n v="22"/>
    <x v="1"/>
    <x v="4"/>
    <x v="5"/>
    <n v="17.399999999999999"/>
    <n v="117"/>
    <n v="79"/>
    <n v="141"/>
    <n v="146"/>
    <x v="2"/>
    <x v="2"/>
    <x v="8"/>
    <x v="1"/>
    <x v="233"/>
    <n v="17"/>
    <n v="18"/>
    <x v="2"/>
    <x v="2"/>
    <x v="3"/>
    <x v="2"/>
    <x v="1"/>
    <n v="0"/>
    <n v="0"/>
    <n v="0"/>
    <n v="0"/>
    <n v="0"/>
    <n v="0"/>
    <x v="2"/>
  </r>
  <r>
    <x v="254"/>
    <s v="Tunde Adeyemi"/>
    <n v="51"/>
    <x v="0"/>
    <x v="1"/>
    <x v="0"/>
    <n v="23.6"/>
    <n v="131"/>
    <n v="74"/>
    <n v="205"/>
    <n v="146"/>
    <x v="1"/>
    <x v="3"/>
    <x v="5"/>
    <x v="0"/>
    <x v="135"/>
    <n v="15"/>
    <n v="5"/>
    <x v="4"/>
    <x v="1"/>
    <x v="2"/>
    <x v="1"/>
    <x v="0"/>
    <n v="1"/>
    <n v="0"/>
    <n v="0"/>
    <n v="1"/>
    <n v="1"/>
    <n v="3"/>
    <x v="1"/>
  </r>
  <r>
    <x v="255"/>
    <s v="Femi Igwe"/>
    <n v="24"/>
    <x v="1"/>
    <x v="2"/>
    <x v="2"/>
    <n v="40"/>
    <n v="142"/>
    <n v="82"/>
    <n v="251"/>
    <n v="176"/>
    <x v="1"/>
    <x v="2"/>
    <x v="3"/>
    <x v="1"/>
    <x v="234"/>
    <n v="16"/>
    <n v="1"/>
    <x v="2"/>
    <x v="3"/>
    <x v="0"/>
    <x v="2"/>
    <x v="0"/>
    <n v="1"/>
    <n v="1"/>
    <n v="0"/>
    <n v="0"/>
    <n v="1"/>
    <n v="3"/>
    <x v="1"/>
  </r>
  <r>
    <x v="256"/>
    <s v="Nkem Eze"/>
    <n v="42"/>
    <x v="0"/>
    <x v="1"/>
    <x v="2"/>
    <n v="33.799999999999997"/>
    <n v="150"/>
    <n v="88"/>
    <n v="269"/>
    <n v="93"/>
    <x v="2"/>
    <x v="1"/>
    <x v="6"/>
    <x v="1"/>
    <x v="235"/>
    <n v="2"/>
    <n v="15"/>
    <x v="2"/>
    <x v="0"/>
    <x v="0"/>
    <x v="3"/>
    <x v="0"/>
    <n v="1"/>
    <n v="1"/>
    <n v="0"/>
    <n v="0"/>
    <n v="1"/>
    <n v="3"/>
    <x v="1"/>
  </r>
  <r>
    <x v="257"/>
    <s v="Dayo Obi"/>
    <n v="38"/>
    <x v="0"/>
    <x v="3"/>
    <x v="6"/>
    <n v="27.9"/>
    <n v="116"/>
    <n v="68"/>
    <n v="263"/>
    <n v="213"/>
    <x v="2"/>
    <x v="5"/>
    <x v="5"/>
    <x v="0"/>
    <x v="236"/>
    <n v="8"/>
    <n v="13"/>
    <x v="2"/>
    <x v="1"/>
    <x v="1"/>
    <x v="0"/>
    <x v="1"/>
    <n v="0"/>
    <n v="0"/>
    <n v="0"/>
    <n v="0"/>
    <n v="1"/>
    <n v="1"/>
    <x v="2"/>
  </r>
  <r>
    <x v="258"/>
    <s v="Tunde Lawal"/>
    <n v="49"/>
    <x v="0"/>
    <x v="6"/>
    <x v="3"/>
    <n v="25"/>
    <n v="103"/>
    <n v="79"/>
    <n v="183"/>
    <n v="159"/>
    <x v="3"/>
    <x v="5"/>
    <x v="3"/>
    <x v="1"/>
    <x v="237"/>
    <n v="7"/>
    <n v="6"/>
    <x v="2"/>
    <x v="2"/>
    <x v="1"/>
    <x v="3"/>
    <x v="1"/>
    <n v="0"/>
    <n v="0"/>
    <n v="0"/>
    <n v="0"/>
    <n v="0"/>
    <n v="0"/>
    <x v="2"/>
  </r>
  <r>
    <x v="259"/>
    <s v="Amaka Balogun"/>
    <n v="29"/>
    <x v="1"/>
    <x v="0"/>
    <x v="5"/>
    <n v="40.200000000000003"/>
    <n v="136"/>
    <n v="60"/>
    <n v="227"/>
    <n v="247"/>
    <x v="1"/>
    <x v="7"/>
    <x v="9"/>
    <x v="0"/>
    <x v="143"/>
    <n v="17"/>
    <n v="6"/>
    <x v="2"/>
    <x v="3"/>
    <x v="0"/>
    <x v="2"/>
    <x v="0"/>
    <n v="1"/>
    <n v="1"/>
    <n v="0"/>
    <n v="0"/>
    <n v="1"/>
    <n v="3"/>
    <x v="1"/>
  </r>
  <r>
    <x v="260"/>
    <s v="Blessing Olawale"/>
    <n v="57"/>
    <x v="0"/>
    <x v="1"/>
    <x v="0"/>
    <n v="34.4"/>
    <n v="102"/>
    <n v="84"/>
    <n v="274"/>
    <n v="81"/>
    <x v="0"/>
    <x v="6"/>
    <x v="7"/>
    <x v="1"/>
    <x v="238"/>
    <n v="8"/>
    <n v="1"/>
    <x v="4"/>
    <x v="0"/>
    <x v="0"/>
    <x v="1"/>
    <x v="0"/>
    <n v="1"/>
    <n v="1"/>
    <n v="1"/>
    <n v="1"/>
    <n v="1"/>
    <n v="5"/>
    <x v="0"/>
  </r>
  <r>
    <x v="261"/>
    <s v="Ngozi Obi"/>
    <n v="39"/>
    <x v="0"/>
    <x v="2"/>
    <x v="2"/>
    <n v="24.3"/>
    <n v="149"/>
    <n v="74"/>
    <n v="237"/>
    <n v="200"/>
    <x v="1"/>
    <x v="4"/>
    <x v="9"/>
    <x v="0"/>
    <x v="239"/>
    <n v="14"/>
    <n v="17"/>
    <x v="0"/>
    <x v="0"/>
    <x v="2"/>
    <x v="0"/>
    <x v="0"/>
    <n v="1"/>
    <n v="0"/>
    <n v="0"/>
    <n v="1"/>
    <n v="1"/>
    <n v="3"/>
    <x v="1"/>
  </r>
  <r>
    <x v="262"/>
    <s v="Uche Mbeki"/>
    <n v="41"/>
    <x v="0"/>
    <x v="5"/>
    <x v="1"/>
    <n v="35.6"/>
    <n v="102"/>
    <n v="82"/>
    <n v="230"/>
    <n v="160"/>
    <x v="0"/>
    <x v="2"/>
    <x v="2"/>
    <x v="1"/>
    <x v="240"/>
    <n v="12"/>
    <n v="0"/>
    <x v="1"/>
    <x v="1"/>
    <x v="0"/>
    <x v="3"/>
    <x v="0"/>
    <n v="1"/>
    <n v="1"/>
    <n v="1"/>
    <n v="1"/>
    <n v="1"/>
    <n v="5"/>
    <x v="0"/>
  </r>
  <r>
    <x v="263"/>
    <s v="Uche Eze"/>
    <n v="43"/>
    <x v="1"/>
    <x v="1"/>
    <x v="1"/>
    <n v="35.200000000000003"/>
    <n v="166"/>
    <n v="103"/>
    <n v="198"/>
    <n v="176"/>
    <x v="2"/>
    <x v="3"/>
    <x v="4"/>
    <x v="1"/>
    <x v="241"/>
    <n v="14"/>
    <n v="17"/>
    <x v="3"/>
    <x v="0"/>
    <x v="0"/>
    <x v="3"/>
    <x v="0"/>
    <n v="1"/>
    <n v="1"/>
    <n v="0"/>
    <n v="1"/>
    <n v="0"/>
    <n v="3"/>
    <x v="1"/>
  </r>
  <r>
    <x v="264"/>
    <s v="Amaka Onwuka"/>
    <n v="56"/>
    <x v="0"/>
    <x v="1"/>
    <x v="4"/>
    <n v="34.200000000000003"/>
    <n v="167"/>
    <n v="68"/>
    <n v="250"/>
    <n v="107"/>
    <x v="3"/>
    <x v="6"/>
    <x v="8"/>
    <x v="0"/>
    <x v="242"/>
    <n v="4"/>
    <n v="0"/>
    <x v="2"/>
    <x v="3"/>
    <x v="0"/>
    <x v="1"/>
    <x v="0"/>
    <n v="1"/>
    <n v="1"/>
    <n v="0"/>
    <n v="0"/>
    <n v="1"/>
    <n v="3"/>
    <x v="1"/>
  </r>
  <r>
    <x v="265"/>
    <s v="Chioma Igwe"/>
    <n v="50"/>
    <x v="1"/>
    <x v="1"/>
    <x v="3"/>
    <n v="19.7"/>
    <n v="123"/>
    <n v="61"/>
    <n v="208"/>
    <n v="225"/>
    <x v="3"/>
    <x v="3"/>
    <x v="0"/>
    <x v="0"/>
    <x v="243"/>
    <n v="11"/>
    <n v="2"/>
    <x v="4"/>
    <x v="2"/>
    <x v="2"/>
    <x v="3"/>
    <x v="2"/>
    <n v="0"/>
    <n v="0"/>
    <n v="0"/>
    <n v="1"/>
    <n v="1"/>
    <n v="2"/>
    <x v="1"/>
  </r>
  <r>
    <x v="266"/>
    <s v="Blessing Taiwo"/>
    <n v="52"/>
    <x v="0"/>
    <x v="1"/>
    <x v="1"/>
    <n v="29.3"/>
    <n v="117"/>
    <n v="70"/>
    <n v="189"/>
    <n v="127"/>
    <x v="0"/>
    <x v="1"/>
    <x v="7"/>
    <x v="1"/>
    <x v="244"/>
    <n v="6"/>
    <n v="6"/>
    <x v="4"/>
    <x v="2"/>
    <x v="1"/>
    <x v="1"/>
    <x v="1"/>
    <n v="0"/>
    <n v="0"/>
    <n v="1"/>
    <n v="1"/>
    <n v="0"/>
    <n v="2"/>
    <x v="1"/>
  </r>
  <r>
    <x v="267"/>
    <s v="Ayo Taiwo"/>
    <n v="53"/>
    <x v="0"/>
    <x v="5"/>
    <x v="3"/>
    <n v="27.7"/>
    <n v="105"/>
    <n v="98"/>
    <n v="237"/>
    <n v="150"/>
    <x v="1"/>
    <x v="3"/>
    <x v="3"/>
    <x v="1"/>
    <x v="84"/>
    <n v="1"/>
    <n v="7"/>
    <x v="1"/>
    <x v="3"/>
    <x v="1"/>
    <x v="1"/>
    <x v="0"/>
    <n v="1"/>
    <n v="0"/>
    <n v="0"/>
    <n v="1"/>
    <n v="1"/>
    <n v="3"/>
    <x v="1"/>
  </r>
  <r>
    <x v="268"/>
    <s v="Musa Adeyemi"/>
    <n v="57"/>
    <x v="1"/>
    <x v="2"/>
    <x v="2"/>
    <n v="21.7"/>
    <n v="156"/>
    <n v="85"/>
    <n v="217"/>
    <n v="143"/>
    <x v="0"/>
    <x v="6"/>
    <x v="5"/>
    <x v="1"/>
    <x v="245"/>
    <n v="4"/>
    <n v="14"/>
    <x v="2"/>
    <x v="3"/>
    <x v="2"/>
    <x v="1"/>
    <x v="0"/>
    <n v="1"/>
    <n v="0"/>
    <n v="1"/>
    <n v="0"/>
    <n v="1"/>
    <n v="3"/>
    <x v="1"/>
  </r>
  <r>
    <x v="269"/>
    <s v="Ngozi Mbeki"/>
    <n v="29"/>
    <x v="1"/>
    <x v="1"/>
    <x v="6"/>
    <n v="20.399999999999999"/>
    <n v="152"/>
    <n v="80"/>
    <n v="255"/>
    <n v="76"/>
    <x v="1"/>
    <x v="5"/>
    <x v="10"/>
    <x v="0"/>
    <x v="87"/>
    <n v="20"/>
    <n v="5"/>
    <x v="4"/>
    <x v="1"/>
    <x v="2"/>
    <x v="2"/>
    <x v="0"/>
    <n v="1"/>
    <n v="0"/>
    <n v="0"/>
    <n v="1"/>
    <n v="1"/>
    <n v="3"/>
    <x v="1"/>
  </r>
  <r>
    <x v="270"/>
    <s v="Tunde Dike"/>
    <n v="62"/>
    <x v="0"/>
    <x v="2"/>
    <x v="6"/>
    <n v="34.700000000000003"/>
    <n v="165"/>
    <n v="99"/>
    <n v="180"/>
    <n v="166"/>
    <x v="1"/>
    <x v="1"/>
    <x v="7"/>
    <x v="1"/>
    <x v="114"/>
    <n v="4"/>
    <n v="5"/>
    <x v="3"/>
    <x v="2"/>
    <x v="0"/>
    <x v="1"/>
    <x v="0"/>
    <n v="1"/>
    <n v="1"/>
    <n v="0"/>
    <n v="1"/>
    <n v="0"/>
    <n v="3"/>
    <x v="1"/>
  </r>
  <r>
    <x v="271"/>
    <s v="Emeka Lawal"/>
    <n v="41"/>
    <x v="1"/>
    <x v="5"/>
    <x v="4"/>
    <n v="32.700000000000003"/>
    <n v="115"/>
    <n v="68"/>
    <n v="191"/>
    <n v="70"/>
    <x v="3"/>
    <x v="7"/>
    <x v="7"/>
    <x v="0"/>
    <x v="246"/>
    <n v="0"/>
    <n v="19"/>
    <x v="4"/>
    <x v="0"/>
    <x v="0"/>
    <x v="3"/>
    <x v="1"/>
    <n v="0"/>
    <n v="1"/>
    <n v="0"/>
    <n v="1"/>
    <n v="0"/>
    <n v="2"/>
    <x v="1"/>
  </r>
  <r>
    <x v="272"/>
    <s v="Fatima Onwuka"/>
    <n v="52"/>
    <x v="0"/>
    <x v="3"/>
    <x v="0"/>
    <n v="19"/>
    <n v="100"/>
    <n v="75"/>
    <n v="280"/>
    <n v="141"/>
    <x v="3"/>
    <x v="5"/>
    <x v="2"/>
    <x v="0"/>
    <x v="35"/>
    <n v="1"/>
    <n v="20"/>
    <x v="2"/>
    <x v="0"/>
    <x v="2"/>
    <x v="1"/>
    <x v="1"/>
    <n v="0"/>
    <n v="0"/>
    <n v="0"/>
    <n v="0"/>
    <n v="1"/>
    <n v="1"/>
    <x v="2"/>
  </r>
  <r>
    <x v="273"/>
    <s v="Amaka Adeyemi"/>
    <n v="58"/>
    <x v="1"/>
    <x v="6"/>
    <x v="1"/>
    <n v="18.2"/>
    <n v="153"/>
    <n v="71"/>
    <n v="181"/>
    <n v="242"/>
    <x v="0"/>
    <x v="3"/>
    <x v="3"/>
    <x v="1"/>
    <x v="247"/>
    <n v="11"/>
    <n v="1"/>
    <x v="4"/>
    <x v="1"/>
    <x v="3"/>
    <x v="1"/>
    <x v="0"/>
    <n v="1"/>
    <n v="0"/>
    <n v="1"/>
    <n v="1"/>
    <n v="0"/>
    <n v="3"/>
    <x v="1"/>
  </r>
  <r>
    <x v="274"/>
    <s v="Kola Yakubu"/>
    <n v="46"/>
    <x v="0"/>
    <x v="3"/>
    <x v="6"/>
    <n v="18.600000000000001"/>
    <n v="160"/>
    <n v="68"/>
    <n v="213"/>
    <n v="247"/>
    <x v="0"/>
    <x v="4"/>
    <x v="2"/>
    <x v="1"/>
    <x v="248"/>
    <n v="19"/>
    <n v="1"/>
    <x v="4"/>
    <x v="3"/>
    <x v="2"/>
    <x v="3"/>
    <x v="0"/>
    <n v="1"/>
    <n v="0"/>
    <n v="1"/>
    <n v="1"/>
    <n v="1"/>
    <n v="4"/>
    <x v="0"/>
  </r>
  <r>
    <x v="275"/>
    <s v="Ngozi Sule"/>
    <n v="60"/>
    <x v="1"/>
    <x v="3"/>
    <x v="5"/>
    <n v="38.200000000000003"/>
    <n v="133"/>
    <n v="93"/>
    <n v="230"/>
    <n v="103"/>
    <x v="3"/>
    <x v="3"/>
    <x v="9"/>
    <x v="0"/>
    <x v="249"/>
    <n v="7"/>
    <n v="9"/>
    <x v="2"/>
    <x v="0"/>
    <x v="0"/>
    <x v="1"/>
    <x v="0"/>
    <n v="1"/>
    <n v="1"/>
    <n v="0"/>
    <n v="0"/>
    <n v="1"/>
    <n v="3"/>
    <x v="1"/>
  </r>
  <r>
    <x v="276"/>
    <s v="Tunde Okafor"/>
    <n v="51"/>
    <x v="0"/>
    <x v="0"/>
    <x v="5"/>
    <n v="42"/>
    <n v="152"/>
    <n v="62"/>
    <n v="225"/>
    <n v="159"/>
    <x v="1"/>
    <x v="5"/>
    <x v="0"/>
    <x v="1"/>
    <x v="250"/>
    <n v="8"/>
    <n v="2"/>
    <x v="2"/>
    <x v="1"/>
    <x v="0"/>
    <x v="1"/>
    <x v="0"/>
    <n v="1"/>
    <n v="1"/>
    <n v="0"/>
    <n v="0"/>
    <n v="1"/>
    <n v="3"/>
    <x v="1"/>
  </r>
  <r>
    <x v="277"/>
    <s v="Blessing Hassan"/>
    <n v="42"/>
    <x v="1"/>
    <x v="2"/>
    <x v="2"/>
    <n v="25.5"/>
    <n v="103"/>
    <n v="71"/>
    <n v="189"/>
    <n v="154"/>
    <x v="1"/>
    <x v="5"/>
    <x v="9"/>
    <x v="0"/>
    <x v="251"/>
    <n v="15"/>
    <n v="4"/>
    <x v="2"/>
    <x v="3"/>
    <x v="1"/>
    <x v="3"/>
    <x v="1"/>
    <n v="0"/>
    <n v="0"/>
    <n v="0"/>
    <n v="0"/>
    <n v="0"/>
    <n v="0"/>
    <x v="2"/>
  </r>
  <r>
    <x v="278"/>
    <s v="Dayo Fashola"/>
    <n v="51"/>
    <x v="1"/>
    <x v="5"/>
    <x v="6"/>
    <n v="24.5"/>
    <n v="140"/>
    <n v="95"/>
    <n v="277"/>
    <n v="74"/>
    <x v="2"/>
    <x v="3"/>
    <x v="8"/>
    <x v="0"/>
    <x v="204"/>
    <n v="0"/>
    <n v="10"/>
    <x v="0"/>
    <x v="3"/>
    <x v="2"/>
    <x v="1"/>
    <x v="0"/>
    <n v="1"/>
    <n v="0"/>
    <n v="0"/>
    <n v="1"/>
    <n v="1"/>
    <n v="3"/>
    <x v="1"/>
  </r>
  <r>
    <x v="279"/>
    <s v="Bello Onwuka"/>
    <n v="60"/>
    <x v="1"/>
    <x v="1"/>
    <x v="5"/>
    <n v="19.899999999999999"/>
    <n v="134"/>
    <n v="105"/>
    <n v="220"/>
    <n v="78"/>
    <x v="0"/>
    <x v="1"/>
    <x v="1"/>
    <x v="0"/>
    <x v="252"/>
    <n v="9"/>
    <n v="6"/>
    <x v="1"/>
    <x v="1"/>
    <x v="2"/>
    <x v="1"/>
    <x v="0"/>
    <n v="1"/>
    <n v="0"/>
    <n v="1"/>
    <n v="1"/>
    <n v="1"/>
    <n v="4"/>
    <x v="0"/>
  </r>
  <r>
    <x v="280"/>
    <s v="Bello Nwosu"/>
    <n v="45"/>
    <x v="1"/>
    <x v="0"/>
    <x v="1"/>
    <n v="28.1"/>
    <n v="103"/>
    <n v="90"/>
    <n v="268"/>
    <n v="109"/>
    <x v="2"/>
    <x v="4"/>
    <x v="9"/>
    <x v="1"/>
    <x v="253"/>
    <n v="3"/>
    <n v="16"/>
    <x v="2"/>
    <x v="2"/>
    <x v="1"/>
    <x v="3"/>
    <x v="0"/>
    <n v="1"/>
    <n v="0"/>
    <n v="0"/>
    <n v="0"/>
    <n v="1"/>
    <n v="2"/>
    <x v="1"/>
  </r>
  <r>
    <x v="281"/>
    <s v="Fatima Adeyemi"/>
    <n v="51"/>
    <x v="1"/>
    <x v="2"/>
    <x v="1"/>
    <n v="17.100000000000001"/>
    <n v="105"/>
    <n v="103"/>
    <n v="162"/>
    <n v="155"/>
    <x v="0"/>
    <x v="3"/>
    <x v="1"/>
    <x v="1"/>
    <x v="254"/>
    <n v="9"/>
    <n v="20"/>
    <x v="2"/>
    <x v="2"/>
    <x v="3"/>
    <x v="1"/>
    <x v="0"/>
    <n v="1"/>
    <n v="0"/>
    <n v="1"/>
    <n v="0"/>
    <n v="0"/>
    <n v="2"/>
    <x v="1"/>
  </r>
  <r>
    <x v="282"/>
    <s v="Fatima Okonkwo"/>
    <n v="40"/>
    <x v="1"/>
    <x v="2"/>
    <x v="2"/>
    <n v="36.299999999999997"/>
    <n v="115"/>
    <n v="77"/>
    <n v="178"/>
    <n v="110"/>
    <x v="0"/>
    <x v="0"/>
    <x v="7"/>
    <x v="0"/>
    <x v="255"/>
    <n v="17"/>
    <n v="10"/>
    <x v="2"/>
    <x v="2"/>
    <x v="0"/>
    <x v="0"/>
    <x v="1"/>
    <n v="0"/>
    <n v="1"/>
    <n v="1"/>
    <n v="0"/>
    <n v="0"/>
    <n v="2"/>
    <x v="1"/>
  </r>
  <r>
    <x v="283"/>
    <s v="Ada Onwuka"/>
    <n v="37"/>
    <x v="1"/>
    <x v="2"/>
    <x v="4"/>
    <n v="32.299999999999997"/>
    <n v="143"/>
    <n v="94"/>
    <n v="253"/>
    <n v="82"/>
    <x v="1"/>
    <x v="3"/>
    <x v="9"/>
    <x v="1"/>
    <x v="256"/>
    <n v="2"/>
    <n v="13"/>
    <x v="0"/>
    <x v="2"/>
    <x v="0"/>
    <x v="0"/>
    <x v="0"/>
    <n v="1"/>
    <n v="1"/>
    <n v="0"/>
    <n v="1"/>
    <n v="1"/>
    <n v="4"/>
    <x v="0"/>
  </r>
  <r>
    <x v="284"/>
    <s v="Femi Onwuka"/>
    <n v="62"/>
    <x v="0"/>
    <x v="1"/>
    <x v="2"/>
    <n v="24.8"/>
    <n v="125"/>
    <n v="105"/>
    <n v="276"/>
    <n v="90"/>
    <x v="0"/>
    <x v="3"/>
    <x v="4"/>
    <x v="0"/>
    <x v="257"/>
    <n v="9"/>
    <n v="20"/>
    <x v="4"/>
    <x v="3"/>
    <x v="2"/>
    <x v="1"/>
    <x v="0"/>
    <n v="1"/>
    <n v="0"/>
    <n v="1"/>
    <n v="1"/>
    <n v="1"/>
    <n v="4"/>
    <x v="0"/>
  </r>
  <r>
    <x v="285"/>
    <s v="Uche Abubakar"/>
    <n v="31"/>
    <x v="1"/>
    <x v="6"/>
    <x v="1"/>
    <n v="21.6"/>
    <n v="142"/>
    <n v="80"/>
    <n v="256"/>
    <n v="194"/>
    <x v="0"/>
    <x v="0"/>
    <x v="9"/>
    <x v="0"/>
    <x v="258"/>
    <n v="5"/>
    <n v="9"/>
    <x v="2"/>
    <x v="2"/>
    <x v="2"/>
    <x v="0"/>
    <x v="0"/>
    <n v="1"/>
    <n v="0"/>
    <n v="1"/>
    <n v="0"/>
    <n v="1"/>
    <n v="3"/>
    <x v="1"/>
  </r>
  <r>
    <x v="286"/>
    <s v="Blessing Nwosu"/>
    <n v="47"/>
    <x v="0"/>
    <x v="6"/>
    <x v="6"/>
    <n v="33.200000000000003"/>
    <n v="138"/>
    <n v="94"/>
    <n v="258"/>
    <n v="172"/>
    <x v="3"/>
    <x v="1"/>
    <x v="0"/>
    <x v="0"/>
    <x v="226"/>
    <n v="2"/>
    <n v="10"/>
    <x v="2"/>
    <x v="3"/>
    <x v="0"/>
    <x v="3"/>
    <x v="0"/>
    <n v="1"/>
    <n v="1"/>
    <n v="0"/>
    <n v="0"/>
    <n v="1"/>
    <n v="3"/>
    <x v="1"/>
  </r>
  <r>
    <x v="287"/>
    <s v="Chioma Onwuka"/>
    <n v="43"/>
    <x v="0"/>
    <x v="1"/>
    <x v="1"/>
    <n v="35.5"/>
    <n v="162"/>
    <n v="67"/>
    <n v="258"/>
    <n v="153"/>
    <x v="1"/>
    <x v="0"/>
    <x v="9"/>
    <x v="1"/>
    <x v="259"/>
    <n v="19"/>
    <n v="3"/>
    <x v="2"/>
    <x v="3"/>
    <x v="0"/>
    <x v="3"/>
    <x v="0"/>
    <n v="1"/>
    <n v="1"/>
    <n v="0"/>
    <n v="0"/>
    <n v="1"/>
    <n v="3"/>
    <x v="1"/>
  </r>
  <r>
    <x v="288"/>
    <s v="Kola Sule"/>
    <n v="25"/>
    <x v="0"/>
    <x v="0"/>
    <x v="0"/>
    <n v="39.200000000000003"/>
    <n v="100"/>
    <n v="69"/>
    <n v="178"/>
    <n v="185"/>
    <x v="1"/>
    <x v="7"/>
    <x v="5"/>
    <x v="0"/>
    <x v="260"/>
    <n v="10"/>
    <n v="9"/>
    <x v="2"/>
    <x v="1"/>
    <x v="0"/>
    <x v="2"/>
    <x v="1"/>
    <n v="0"/>
    <n v="1"/>
    <n v="0"/>
    <n v="0"/>
    <n v="0"/>
    <n v="1"/>
    <x v="2"/>
  </r>
  <r>
    <x v="289"/>
    <s v="Chioma Yakubu"/>
    <n v="27"/>
    <x v="1"/>
    <x v="1"/>
    <x v="6"/>
    <n v="27.1"/>
    <n v="116"/>
    <n v="78"/>
    <n v="155"/>
    <n v="164"/>
    <x v="1"/>
    <x v="3"/>
    <x v="7"/>
    <x v="0"/>
    <x v="55"/>
    <n v="0"/>
    <n v="7"/>
    <x v="0"/>
    <x v="3"/>
    <x v="1"/>
    <x v="2"/>
    <x v="1"/>
    <n v="0"/>
    <n v="0"/>
    <n v="0"/>
    <n v="1"/>
    <n v="0"/>
    <n v="1"/>
    <x v="2"/>
  </r>
  <r>
    <x v="290"/>
    <s v="Kola Obi"/>
    <n v="47"/>
    <x v="1"/>
    <x v="3"/>
    <x v="6"/>
    <n v="22.3"/>
    <n v="122"/>
    <n v="90"/>
    <n v="175"/>
    <n v="118"/>
    <x v="1"/>
    <x v="1"/>
    <x v="8"/>
    <x v="1"/>
    <x v="261"/>
    <n v="4"/>
    <n v="4"/>
    <x v="0"/>
    <x v="1"/>
    <x v="2"/>
    <x v="3"/>
    <x v="0"/>
    <n v="1"/>
    <n v="0"/>
    <n v="0"/>
    <n v="1"/>
    <n v="0"/>
    <n v="2"/>
    <x v="1"/>
  </r>
  <r>
    <x v="291"/>
    <s v="Chukwu Eze"/>
    <n v="53"/>
    <x v="1"/>
    <x v="1"/>
    <x v="1"/>
    <n v="20.399999999999999"/>
    <n v="153"/>
    <n v="89"/>
    <n v="248"/>
    <n v="229"/>
    <x v="1"/>
    <x v="5"/>
    <x v="2"/>
    <x v="1"/>
    <x v="262"/>
    <n v="7"/>
    <n v="5"/>
    <x v="0"/>
    <x v="0"/>
    <x v="2"/>
    <x v="1"/>
    <x v="0"/>
    <n v="1"/>
    <n v="0"/>
    <n v="0"/>
    <n v="1"/>
    <n v="1"/>
    <n v="3"/>
    <x v="1"/>
  </r>
  <r>
    <x v="292"/>
    <s v="Nkem Sule"/>
    <n v="37"/>
    <x v="1"/>
    <x v="3"/>
    <x v="6"/>
    <n v="31.4"/>
    <n v="104"/>
    <n v="62"/>
    <n v="263"/>
    <n v="250"/>
    <x v="1"/>
    <x v="0"/>
    <x v="3"/>
    <x v="0"/>
    <x v="263"/>
    <n v="16"/>
    <n v="8"/>
    <x v="4"/>
    <x v="3"/>
    <x v="0"/>
    <x v="0"/>
    <x v="1"/>
    <n v="0"/>
    <n v="1"/>
    <n v="0"/>
    <n v="1"/>
    <n v="1"/>
    <n v="3"/>
    <x v="1"/>
  </r>
  <r>
    <x v="293"/>
    <s v="Ngozi Mbeki"/>
    <n v="61"/>
    <x v="0"/>
    <x v="0"/>
    <x v="0"/>
    <n v="32.799999999999997"/>
    <n v="109"/>
    <n v="103"/>
    <n v="278"/>
    <n v="218"/>
    <x v="0"/>
    <x v="3"/>
    <x v="7"/>
    <x v="0"/>
    <x v="84"/>
    <n v="16"/>
    <n v="15"/>
    <x v="2"/>
    <x v="2"/>
    <x v="0"/>
    <x v="1"/>
    <x v="0"/>
    <n v="1"/>
    <n v="1"/>
    <n v="1"/>
    <n v="0"/>
    <n v="1"/>
    <n v="4"/>
    <x v="0"/>
  </r>
  <r>
    <x v="294"/>
    <s v="Chioma Yakubu"/>
    <n v="40"/>
    <x v="1"/>
    <x v="1"/>
    <x v="2"/>
    <n v="34.4"/>
    <n v="138"/>
    <n v="96"/>
    <n v="206"/>
    <n v="85"/>
    <x v="0"/>
    <x v="3"/>
    <x v="4"/>
    <x v="1"/>
    <x v="264"/>
    <n v="0"/>
    <n v="9"/>
    <x v="4"/>
    <x v="1"/>
    <x v="0"/>
    <x v="0"/>
    <x v="0"/>
    <n v="1"/>
    <n v="1"/>
    <n v="1"/>
    <n v="1"/>
    <n v="1"/>
    <n v="5"/>
    <x v="0"/>
  </r>
  <r>
    <x v="295"/>
    <s v="Amaka Mbeki"/>
    <n v="26"/>
    <x v="1"/>
    <x v="4"/>
    <x v="0"/>
    <n v="32.4"/>
    <n v="135"/>
    <n v="76"/>
    <n v="143"/>
    <n v="98"/>
    <x v="3"/>
    <x v="6"/>
    <x v="3"/>
    <x v="1"/>
    <x v="265"/>
    <n v="5"/>
    <n v="8"/>
    <x v="2"/>
    <x v="3"/>
    <x v="0"/>
    <x v="2"/>
    <x v="0"/>
    <n v="1"/>
    <n v="1"/>
    <n v="0"/>
    <n v="0"/>
    <n v="0"/>
    <n v="2"/>
    <x v="1"/>
  </r>
  <r>
    <x v="296"/>
    <s v="Bello Mbeki"/>
    <n v="24"/>
    <x v="0"/>
    <x v="2"/>
    <x v="0"/>
    <n v="31.9"/>
    <n v="119"/>
    <n v="91"/>
    <n v="245"/>
    <n v="168"/>
    <x v="2"/>
    <x v="5"/>
    <x v="9"/>
    <x v="1"/>
    <x v="266"/>
    <n v="11"/>
    <n v="1"/>
    <x v="2"/>
    <x v="1"/>
    <x v="0"/>
    <x v="2"/>
    <x v="0"/>
    <n v="1"/>
    <n v="1"/>
    <n v="0"/>
    <n v="0"/>
    <n v="1"/>
    <n v="3"/>
    <x v="1"/>
  </r>
  <r>
    <x v="297"/>
    <s v="Tunde Adeyemi"/>
    <n v="32"/>
    <x v="0"/>
    <x v="3"/>
    <x v="0"/>
    <n v="24.5"/>
    <n v="168"/>
    <n v="74"/>
    <n v="237"/>
    <n v="244"/>
    <x v="1"/>
    <x v="5"/>
    <x v="6"/>
    <x v="1"/>
    <x v="234"/>
    <n v="14"/>
    <n v="12"/>
    <x v="2"/>
    <x v="2"/>
    <x v="2"/>
    <x v="0"/>
    <x v="0"/>
    <n v="1"/>
    <n v="0"/>
    <n v="0"/>
    <n v="0"/>
    <n v="1"/>
    <n v="2"/>
    <x v="1"/>
  </r>
  <r>
    <x v="298"/>
    <s v="Blessing Adeyemi"/>
    <n v="28"/>
    <x v="0"/>
    <x v="3"/>
    <x v="5"/>
    <n v="40"/>
    <n v="134"/>
    <n v="81"/>
    <n v="209"/>
    <n v="138"/>
    <x v="1"/>
    <x v="7"/>
    <x v="3"/>
    <x v="1"/>
    <x v="267"/>
    <n v="7"/>
    <n v="18"/>
    <x v="2"/>
    <x v="3"/>
    <x v="0"/>
    <x v="2"/>
    <x v="0"/>
    <n v="1"/>
    <n v="1"/>
    <n v="0"/>
    <n v="0"/>
    <n v="1"/>
    <n v="3"/>
    <x v="1"/>
  </r>
  <r>
    <x v="299"/>
    <s v="Kola Aliyu"/>
    <n v="42"/>
    <x v="1"/>
    <x v="5"/>
    <x v="1"/>
    <n v="17.3"/>
    <n v="112"/>
    <n v="93"/>
    <n v="166"/>
    <n v="245"/>
    <x v="0"/>
    <x v="4"/>
    <x v="0"/>
    <x v="1"/>
    <x v="29"/>
    <n v="0"/>
    <n v="2"/>
    <x v="2"/>
    <x v="0"/>
    <x v="3"/>
    <x v="3"/>
    <x v="0"/>
    <n v="1"/>
    <n v="0"/>
    <n v="1"/>
    <n v="0"/>
    <n v="0"/>
    <n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51F369-6738-4422-983A-2A1C0E2C4BBC}" name="PivotTable15"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O22:AP31" firstHeaderRow="1" firstDataRow="1" firstDataCol="1"/>
  <pivotFields count="30">
    <pivotField dataField="1" showAll="0"/>
    <pivotField showAll="0"/>
    <pivotField showAll="0"/>
    <pivotField showAll="0">
      <items count="3">
        <item x="0"/>
        <item x="1"/>
        <item t="default"/>
      </items>
    </pivotField>
    <pivotField showAll="0"/>
    <pivotField showAll="0">
      <items count="8">
        <item x="1"/>
        <item x="5"/>
        <item x="3"/>
        <item x="2"/>
        <item x="4"/>
        <item x="6"/>
        <item x="0"/>
        <item t="default"/>
      </items>
    </pivotField>
    <pivotField showAll="0"/>
    <pivotField showAll="0"/>
    <pivotField showAll="0"/>
    <pivotField showAll="0"/>
    <pivotField showAll="0"/>
    <pivotField showAll="0"/>
    <pivotField axis="axisRow" showAll="0">
      <items count="9">
        <item x="3"/>
        <item x="0"/>
        <item x="6"/>
        <item x="2"/>
        <item x="7"/>
        <item x="4"/>
        <item x="1"/>
        <item x="5"/>
        <item t="default"/>
      </items>
    </pivotField>
    <pivotField showAll="0"/>
    <pivotField showAll="0"/>
    <pivotField showAll="0"/>
    <pivotField showAll="0"/>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4">
        <item x="0"/>
        <item x="2"/>
        <item x="1"/>
        <item t="default"/>
      </items>
    </pivotField>
  </pivotFields>
  <rowFields count="1">
    <field x="12"/>
  </rowFields>
  <rowItems count="9">
    <i>
      <x/>
    </i>
    <i>
      <x v="1"/>
    </i>
    <i>
      <x v="2"/>
    </i>
    <i>
      <x v="3"/>
    </i>
    <i>
      <x v="4"/>
    </i>
    <i>
      <x v="5"/>
    </i>
    <i>
      <x v="6"/>
    </i>
    <i>
      <x v="7"/>
    </i>
    <i t="grand">
      <x/>
    </i>
  </rowItems>
  <colItems count="1">
    <i/>
  </colItems>
  <dataFields count="1">
    <dataField name="Count of Employee_ID"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0DC8AD-3279-46B6-A2D1-9ACBD26BED81}" name="PivotTable18"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S18:AA27" firstHeaderRow="1" firstDataRow="2" firstDataCol="1"/>
  <pivotFields count="30">
    <pivotField showAll="0"/>
    <pivotField showAll="0"/>
    <pivotField showAll="0"/>
    <pivotField showAll="0">
      <items count="3">
        <item x="0"/>
        <item x="1"/>
        <item t="default"/>
      </items>
    </pivotField>
    <pivotField axis="axisRow" showAll="0">
      <items count="8">
        <item x="2"/>
        <item x="5"/>
        <item x="1"/>
        <item x="3"/>
        <item x="6"/>
        <item x="0"/>
        <item x="4"/>
        <item t="default"/>
      </items>
    </pivotField>
    <pivotField axis="axisCol" showAll="0">
      <items count="8">
        <item x="1"/>
        <item x="5"/>
        <item x="3"/>
        <item x="2"/>
        <item x="4"/>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dataField="1" showAll="0"/>
    <pivotField showAll="0"/>
    <pivotField showAll="0"/>
    <pivotField showAll="0"/>
    <pivotField showAll="0"/>
    <pivotField showAll="0"/>
    <pivotField showAll="0"/>
    <pivotField showAll="0">
      <items count="4">
        <item x="0"/>
        <item x="2"/>
        <item x="1"/>
        <item t="default"/>
      </items>
    </pivotField>
  </pivotFields>
  <rowFields count="1">
    <field x="4"/>
  </rowFields>
  <rowItems count="8">
    <i>
      <x/>
    </i>
    <i>
      <x v="1"/>
    </i>
    <i>
      <x v="2"/>
    </i>
    <i>
      <x v="3"/>
    </i>
    <i>
      <x v="4"/>
    </i>
    <i>
      <x v="5"/>
    </i>
    <i>
      <x v="6"/>
    </i>
    <i t="grand">
      <x/>
    </i>
  </rowItems>
  <colFields count="1">
    <field x="5"/>
  </colFields>
  <colItems count="8">
    <i>
      <x/>
    </i>
    <i>
      <x v="1"/>
    </i>
    <i>
      <x v="2"/>
    </i>
    <i>
      <x v="3"/>
    </i>
    <i>
      <x v="4"/>
    </i>
    <i>
      <x v="5"/>
    </i>
    <i>
      <x v="6"/>
    </i>
    <i t="grand">
      <x/>
    </i>
  </colItems>
  <dataFields count="1">
    <dataField name="Count of BP category"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5BA468-B2AF-4B4E-974D-46437F06155B}" name="PivotTable16"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I16:AK22" firstHeaderRow="0" firstDataRow="1" firstDataCol="1"/>
  <pivotFields count="30">
    <pivotField showAll="0"/>
    <pivotField showAll="0"/>
    <pivotField showAll="0"/>
    <pivotField showAll="0">
      <items count="3">
        <item x="0"/>
        <item x="1"/>
        <item t="default"/>
      </items>
    </pivotField>
    <pivotField showAll="0"/>
    <pivotField showAll="0">
      <items count="8">
        <item x="1"/>
        <item x="5"/>
        <item x="3"/>
        <item x="2"/>
        <item x="4"/>
        <item x="6"/>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axis="axisRow" showAll="0">
      <items count="7">
        <item x="3"/>
        <item x="0"/>
        <item m="1" x="5"/>
        <item x="4"/>
        <item x="2"/>
        <item x="1"/>
        <item t="default"/>
      </items>
    </pivotField>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4">
        <item x="0"/>
        <item x="2"/>
        <item x="1"/>
        <item t="default"/>
      </items>
    </pivotField>
  </pivotFields>
  <rowFields count="1">
    <field x="18"/>
  </rowFields>
  <rowItems count="6">
    <i>
      <x/>
    </i>
    <i>
      <x v="1"/>
    </i>
    <i>
      <x v="3"/>
    </i>
    <i>
      <x v="4"/>
    </i>
    <i>
      <x v="5"/>
    </i>
    <i t="grand">
      <x/>
    </i>
  </rowItems>
  <colFields count="1">
    <field x="-2"/>
  </colFields>
  <colItems count="2">
    <i>
      <x/>
    </i>
    <i i="1">
      <x v="1"/>
    </i>
  </colItems>
  <dataFields count="2">
    <dataField name="Average of Sick_Days_2023" fld="16" subtotal="average" baseField="0" baseItem="1"/>
    <dataField name="Average of Sick_Days_2024" fld="17"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7716BF-0B0E-4ED9-AAB0-21C8CB05CB93}" name="PivotTable10"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Q18:BR26" firstHeaderRow="1" firstDataRow="1" firstDataCol="1"/>
  <pivotFields count="30">
    <pivotField showAll="0"/>
    <pivotField showAll="0"/>
    <pivotField showAll="0"/>
    <pivotField showAll="0">
      <items count="3">
        <item x="0"/>
        <item x="1"/>
        <item t="default"/>
      </items>
    </pivotField>
    <pivotField axis="axisRow" showAll="0">
      <items count="8">
        <item x="2"/>
        <item x="5"/>
        <item x="1"/>
        <item x="3"/>
        <item x="6"/>
        <item x="0"/>
        <item x="4"/>
        <item t="default"/>
      </items>
    </pivotField>
    <pivotField showAll="0">
      <items count="8">
        <item x="1"/>
        <item x="5"/>
        <item x="3"/>
        <item x="2"/>
        <item x="4"/>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dataField="1" showAll="0"/>
    <pivotField showAll="0">
      <items count="4">
        <item x="0"/>
        <item x="2"/>
        <item x="1"/>
        <item t="default"/>
      </items>
    </pivotField>
  </pivotFields>
  <rowFields count="1">
    <field x="4"/>
  </rowFields>
  <rowItems count="8">
    <i>
      <x/>
    </i>
    <i>
      <x v="1"/>
    </i>
    <i>
      <x v="2"/>
    </i>
    <i>
      <x v="3"/>
    </i>
    <i>
      <x v="4"/>
    </i>
    <i>
      <x v="5"/>
    </i>
    <i>
      <x v="6"/>
    </i>
    <i t="grand">
      <x/>
    </i>
  </rowItems>
  <colItems count="1">
    <i/>
  </colItems>
  <dataFields count="1">
    <dataField name="Sum of risk score" fld="2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CD7317-604B-41A4-BD2B-A83CFF7D4643}" name="PivotTable17"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I26:AJ27" firstHeaderRow="0" firstDataRow="1" firstDataCol="0"/>
  <pivotFields count="30">
    <pivotField showAll="0"/>
    <pivotField showAll="0"/>
    <pivotField showAll="0"/>
    <pivotField showAll="0">
      <items count="3">
        <item x="0"/>
        <item x="1"/>
        <item t="default"/>
      </items>
    </pivotField>
    <pivotField showAll="0"/>
    <pivotField showAll="0">
      <items count="8">
        <item x="1"/>
        <item x="5"/>
        <item x="3"/>
        <item x="2"/>
        <item x="4"/>
        <item x="6"/>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4">
        <item x="0"/>
        <item x="2"/>
        <item x="1"/>
        <item t="default"/>
      </items>
    </pivotField>
  </pivotFields>
  <rowItems count="1">
    <i/>
  </rowItems>
  <colFields count="1">
    <field x="-2"/>
  </colFields>
  <colItems count="2">
    <i>
      <x/>
    </i>
    <i i="1">
      <x v="1"/>
    </i>
  </colItems>
  <dataFields count="2">
    <dataField name="Sum of Sick_Days_2023" fld="16" baseField="18" baseItem="0"/>
    <dataField name="Sum of Sick_Days_2024" fld="17"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6B5234-C1AA-4B24-8EA1-801ED3225D70}" name="PivotTable4"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G3:BH8" firstHeaderRow="1" firstDataRow="1" firstDataCol="1"/>
  <pivotFields count="30">
    <pivotField dataField="1" showAll="0"/>
    <pivotField showAll="0"/>
    <pivotField showAll="0"/>
    <pivotField showAll="0">
      <items count="3">
        <item x="0"/>
        <item x="1"/>
        <item t="default"/>
      </items>
    </pivotField>
    <pivotField showAll="0"/>
    <pivotField showAll="0">
      <items count="8">
        <item x="1"/>
        <item x="5"/>
        <item x="3"/>
        <item x="2"/>
        <item x="4"/>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4">
        <item x="0"/>
        <item x="2"/>
        <item x="1"/>
        <item t="default"/>
      </items>
    </pivotField>
  </pivotFields>
  <rowFields count="1">
    <field x="19"/>
  </rowFields>
  <rowItems count="5">
    <i>
      <x/>
    </i>
    <i>
      <x v="1"/>
    </i>
    <i>
      <x v="2"/>
    </i>
    <i>
      <x v="3"/>
    </i>
    <i t="grand">
      <x/>
    </i>
  </rowItems>
  <colItems count="1">
    <i/>
  </colItems>
  <dataFields count="1">
    <dataField name="Count of Employee_ID" fld="0" subtotal="count" showDataAs="percentOfCol" baseField="0" baseItem="0"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749509-8C7B-4BD7-8EF9-3CE1B3D44053}" name="PivotTable14"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O13:AP18" firstHeaderRow="1" firstDataRow="1" firstDataCol="1"/>
  <pivotFields count="30">
    <pivotField showAll="0"/>
    <pivotField showAll="0"/>
    <pivotField showAll="0"/>
    <pivotField showAll="0">
      <items count="3">
        <item x="0"/>
        <item x="1"/>
        <item t="default"/>
      </items>
    </pivotField>
    <pivotField showAll="0"/>
    <pivotField showAll="0">
      <items count="8">
        <item x="1"/>
        <item x="5"/>
        <item x="3"/>
        <item x="2"/>
        <item x="4"/>
        <item x="6"/>
        <item x="0"/>
        <item t="default"/>
      </items>
    </pivotField>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dataField="1"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4">
        <item x="0"/>
        <item x="2"/>
        <item x="1"/>
        <item t="default"/>
      </items>
    </pivotField>
  </pivotFields>
  <rowFields count="1">
    <field x="11"/>
  </rowFields>
  <rowItems count="5">
    <i>
      <x/>
    </i>
    <i>
      <x v="1"/>
    </i>
    <i>
      <x v="2"/>
    </i>
    <i>
      <x v="3"/>
    </i>
    <i t="grand">
      <x/>
    </i>
  </rowItems>
  <colItems count="1">
    <i/>
  </colItems>
  <dataFields count="1">
    <dataField name="Count of Chronic_Condition"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900257-7460-499E-AED4-035B7F2E175F}" name="PivotTable2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T13:AU15" firstHeaderRow="1" firstDataRow="1" firstDataCol="1"/>
  <pivotFields count="30">
    <pivotField showAll="0"/>
    <pivotField showAll="0"/>
    <pivotField showAll="0"/>
    <pivotField showAll="0">
      <items count="3">
        <item x="0"/>
        <item x="1"/>
        <item t="default"/>
      </items>
    </pivotField>
    <pivotField axis="axisRow" showAll="0">
      <items count="8">
        <item h="1" x="2"/>
        <item h="1" x="5"/>
        <item h="1" x="1"/>
        <item h="1" x="3"/>
        <item h="1" x="6"/>
        <item x="0"/>
        <item h="1" x="4"/>
        <item t="default"/>
      </items>
    </pivotField>
    <pivotField showAll="0">
      <items count="8">
        <item x="1"/>
        <item x="5"/>
        <item x="3"/>
        <item x="2"/>
        <item x="4"/>
        <item x="6"/>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4">
        <item x="0"/>
        <item x="2"/>
        <item x="1"/>
        <item t="default"/>
      </items>
    </pivotField>
  </pivotFields>
  <rowFields count="1">
    <field x="4"/>
  </rowFields>
  <rowItems count="2">
    <i>
      <x v="5"/>
    </i>
    <i t="grand">
      <x/>
    </i>
  </rowItems>
  <colItems count="1">
    <i/>
  </colItems>
  <dataFields count="1">
    <dataField name="Sum of Mental_Health_Score" fld="13"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64217B-F909-4C10-AB00-A4E3EDABFA63}" name="PivotTable1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B3:CC7" firstHeaderRow="1" firstDataRow="1" firstDataCol="1"/>
  <pivotFields count="30">
    <pivotField dataField="1" showAll="0"/>
    <pivotField showAll="0"/>
    <pivotField showAll="0"/>
    <pivotField showAll="0">
      <items count="3">
        <item x="0"/>
        <item x="1"/>
        <item t="default"/>
      </items>
    </pivotField>
    <pivotField showAll="0">
      <items count="8">
        <item x="2"/>
        <item x="5"/>
        <item x="1"/>
        <item x="3"/>
        <item x="6"/>
        <item x="0"/>
        <item x="4"/>
        <item t="default"/>
      </items>
    </pivotField>
    <pivotField showAll="0">
      <items count="8">
        <item x="1"/>
        <item x="5"/>
        <item x="3"/>
        <item x="2"/>
        <item x="4"/>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s>
  <rowFields count="1">
    <field x="29"/>
  </rowFields>
  <rowItems count="4">
    <i>
      <x/>
    </i>
    <i>
      <x v="1"/>
    </i>
    <i>
      <x v="2"/>
    </i>
    <i t="grand">
      <x/>
    </i>
  </rowItems>
  <colItems count="1">
    <i/>
  </colItems>
  <dataFields count="1">
    <dataField name="Count of Employee_ID" fld="0" subtotal="count" showDataAs="percentOfCol" baseField="0" baseItem="0" numFmtId="10"/>
  </dataFields>
  <formats count="3">
    <format dxfId="2">
      <pivotArea collapsedLevelsAreSubtotals="1" fieldPosition="0">
        <references count="1">
          <reference field="29" count="1">
            <x v="0"/>
          </reference>
        </references>
      </pivotArea>
    </format>
    <format dxfId="1">
      <pivotArea collapsedLevelsAreSubtotals="1" fieldPosition="0">
        <references count="1">
          <reference field="29" count="1">
            <x v="1"/>
          </reference>
        </references>
      </pivotArea>
    </format>
    <format dxfId="0">
      <pivotArea collapsedLevelsAreSubtotals="1" fieldPosition="0">
        <references count="1">
          <reference field="29" count="1">
            <x v="2"/>
          </reference>
        </references>
      </pivotArea>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9" count="1" selected="0">
            <x v="0"/>
          </reference>
        </references>
      </pivotArea>
    </chartFormat>
    <chartFormat chart="2" format="7">
      <pivotArea type="data" outline="0" fieldPosition="0">
        <references count="2">
          <reference field="4294967294" count="1" selected="0">
            <x v="0"/>
          </reference>
          <reference field="29" count="1" selected="0">
            <x v="1"/>
          </reference>
        </references>
      </pivotArea>
    </chartFormat>
    <chartFormat chart="2" format="8">
      <pivotArea type="data" outline="0" fieldPosition="0">
        <references count="2">
          <reference field="4294967294" count="1" selected="0">
            <x v="0"/>
          </reference>
          <reference field="2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F9C819-7232-418B-9A4F-7E4567EF808E}" name="PivotTable27"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H20:CI25" firstHeaderRow="1" firstDataRow="1" firstDataCol="1"/>
  <pivotFields count="30">
    <pivotField dataField="1" showAll="0"/>
    <pivotField showAll="0"/>
    <pivotField showAll="0"/>
    <pivotField showAll="0">
      <items count="3">
        <item x="0"/>
        <item x="1"/>
        <item t="default"/>
      </items>
    </pivotField>
    <pivotField showAll="0">
      <items count="8">
        <item x="2"/>
        <item x="5"/>
        <item x="1"/>
        <item x="3"/>
        <item x="6"/>
        <item x="0"/>
        <item x="4"/>
        <item t="default"/>
      </items>
    </pivotField>
    <pivotField showAll="0">
      <items count="8">
        <item x="1"/>
        <item x="5"/>
        <item x="3"/>
        <item x="2"/>
        <item x="4"/>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4">
        <item x="0"/>
        <item x="2"/>
        <item x="1"/>
        <item t="default"/>
      </items>
    </pivotField>
  </pivotFields>
  <rowFields count="1">
    <field x="19"/>
  </rowFields>
  <rowItems count="5">
    <i>
      <x/>
    </i>
    <i>
      <x v="1"/>
    </i>
    <i>
      <x v="2"/>
    </i>
    <i>
      <x v="3"/>
    </i>
    <i t="grand">
      <x/>
    </i>
  </rowItems>
  <colItems count="1">
    <i/>
  </colItems>
  <dataFields count="1">
    <dataField name="Count of Employee_ID"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C03FDD-D839-41AB-9244-0BE5F301BE66}" name="PivotTable5"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S3:T9" firstHeaderRow="1" firstDataRow="1" firstDataCol="1"/>
  <pivotFields count="30">
    <pivotField showAll="0"/>
    <pivotField showAll="0"/>
    <pivotField showAll="0"/>
    <pivotField showAll="0">
      <items count="3">
        <item x="0"/>
        <item x="1"/>
        <item t="default"/>
      </items>
    </pivotField>
    <pivotField showAll="0"/>
    <pivotField showAll="0">
      <items count="8">
        <item x="1"/>
        <item x="5"/>
        <item x="3"/>
        <item x="2"/>
        <item x="4"/>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3"/>
        <item x="0"/>
        <item m="1" x="5"/>
        <item x="4"/>
        <item x="2"/>
        <item x="1"/>
        <item t="default"/>
      </items>
    </pivotField>
    <pivotField showAll="0"/>
    <pivotField showAll="0"/>
    <pivotField showAll="0">
      <items count="5">
        <item x="0"/>
        <item x="1"/>
        <item x="3"/>
        <item x="2"/>
        <item t="default"/>
      </items>
    </pivotField>
    <pivotField dataField="1" showAll="0"/>
    <pivotField showAll="0"/>
    <pivotField showAll="0"/>
    <pivotField showAll="0"/>
    <pivotField showAll="0"/>
    <pivotField showAll="0"/>
    <pivotField showAll="0"/>
    <pivotField showAll="0">
      <items count="4">
        <item x="0"/>
        <item x="2"/>
        <item x="1"/>
        <item t="default"/>
      </items>
    </pivotField>
  </pivotFields>
  <rowFields count="1">
    <field x="18"/>
  </rowFields>
  <rowItems count="6">
    <i>
      <x/>
    </i>
    <i>
      <x v="1"/>
    </i>
    <i>
      <x v="3"/>
    </i>
    <i>
      <x v="4"/>
    </i>
    <i>
      <x v="5"/>
    </i>
    <i t="grand">
      <x/>
    </i>
  </rowItems>
  <colItems count="1">
    <i/>
  </colItems>
  <dataFields count="1">
    <dataField name="Count of BP category" fld="22" subtotal="count" showDataAs="percentOfCol" baseField="0" baseItem="0" numFmtId="10"/>
  </dataFields>
  <formats count="5">
    <format dxfId="7">
      <pivotArea collapsedLevelsAreSubtotals="1" fieldPosition="0">
        <references count="1">
          <reference field="18" count="1">
            <x v="1"/>
          </reference>
        </references>
      </pivotArea>
    </format>
    <format dxfId="6">
      <pivotArea collapsedLevelsAreSubtotals="1" fieldPosition="0">
        <references count="1">
          <reference field="18" count="1">
            <x v="0"/>
          </reference>
        </references>
      </pivotArea>
    </format>
    <format dxfId="5">
      <pivotArea collapsedLevelsAreSubtotals="1" fieldPosition="0">
        <references count="1">
          <reference field="18" count="1">
            <x v="3"/>
          </reference>
        </references>
      </pivotArea>
    </format>
    <format dxfId="4">
      <pivotArea collapsedLevelsAreSubtotals="1" fieldPosition="0">
        <references count="1">
          <reference field="18" count="1">
            <x v="4"/>
          </reference>
        </references>
      </pivotArea>
    </format>
    <format dxfId="3">
      <pivotArea collapsedLevelsAreSubtotals="1" fieldPosition="0">
        <references count="1">
          <reference field="18" count="1">
            <x v="5"/>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A7F7AE0-DADD-4274-BC08-81EE60A21F40}" name="PivotTable25"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H3:CH4" firstHeaderRow="1" firstDataRow="1" firstDataCol="0"/>
  <pivotFields count="30">
    <pivotField dataField="1" showAll="0"/>
    <pivotField showAll="0"/>
    <pivotField showAll="0"/>
    <pivotField showAll="0">
      <items count="3">
        <item x="0"/>
        <item x="1"/>
        <item t="default"/>
      </items>
    </pivotField>
    <pivotField showAll="0">
      <items count="8">
        <item x="2"/>
        <item x="5"/>
        <item x="1"/>
        <item x="3"/>
        <item x="6"/>
        <item x="0"/>
        <item x="4"/>
        <item t="default"/>
      </items>
    </pivotField>
    <pivotField showAll="0">
      <items count="8">
        <item x="1"/>
        <item x="5"/>
        <item x="3"/>
        <item x="2"/>
        <item x="4"/>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4">
        <item x="0"/>
        <item x="2"/>
        <item x="1"/>
        <item t="default"/>
      </items>
    </pivotField>
  </pivotFields>
  <rowItems count="1">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0FDFD5B-F650-4F34-AC17-4F996017B30E}" name="PivotTable7"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BG12:BL21" firstHeaderRow="1" firstDataRow="2" firstDataCol="1"/>
  <pivotFields count="30">
    <pivotField dataField="1" showAll="0"/>
    <pivotField showAll="0"/>
    <pivotField showAll="0"/>
    <pivotField showAll="0">
      <items count="3">
        <item x="0"/>
        <item x="1"/>
        <item t="default"/>
      </items>
    </pivotField>
    <pivotField axis="axisRow" showAll="0">
      <items count="8">
        <item x="2"/>
        <item x="5"/>
        <item x="1"/>
        <item x="3"/>
        <item x="6"/>
        <item x="0"/>
        <item x="4"/>
        <item t="default"/>
      </items>
    </pivotField>
    <pivotField showAll="0">
      <items count="8">
        <item x="1"/>
        <item x="5"/>
        <item x="3"/>
        <item x="2"/>
        <item x="4"/>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0"/>
        <item x="1"/>
        <item x="2"/>
        <item x="3"/>
        <item t="default"/>
      </items>
    </pivotField>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4">
        <item x="0"/>
        <item x="2"/>
        <item x="1"/>
        <item t="default"/>
      </items>
    </pivotField>
  </pivotFields>
  <rowFields count="1">
    <field x="4"/>
  </rowFields>
  <rowItems count="8">
    <i>
      <x/>
    </i>
    <i>
      <x v="1"/>
    </i>
    <i>
      <x v="2"/>
    </i>
    <i>
      <x v="3"/>
    </i>
    <i>
      <x v="4"/>
    </i>
    <i>
      <x v="5"/>
    </i>
    <i>
      <x v="6"/>
    </i>
    <i t="grand">
      <x/>
    </i>
  </rowItems>
  <colFields count="1">
    <field x="19"/>
  </colFields>
  <colItems count="5">
    <i>
      <x/>
    </i>
    <i>
      <x v="1"/>
    </i>
    <i>
      <x v="2"/>
    </i>
    <i>
      <x v="3"/>
    </i>
    <i t="grand">
      <x/>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6D6343B-3D9D-45FB-A8D9-C03369EAF985}" name="PivotTable19"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4:M43" firstHeaderRow="1" firstDataRow="2" firstDataCol="1"/>
  <pivotFields count="30">
    <pivotField showAll="0"/>
    <pivotField showAll="0"/>
    <pivotField showAll="0"/>
    <pivotField showAll="0">
      <items count="3">
        <item x="0"/>
        <item x="1"/>
        <item t="default"/>
      </items>
    </pivotField>
    <pivotField axis="axisRow" showAll="0">
      <items count="8">
        <item x="2"/>
        <item x="5"/>
        <item x="1"/>
        <item x="3"/>
        <item x="6"/>
        <item x="0"/>
        <item x="4"/>
        <item t="default"/>
      </items>
    </pivotField>
    <pivotField showAll="0">
      <items count="8">
        <item x="1"/>
        <item x="5"/>
        <item x="3"/>
        <item x="2"/>
        <item x="4"/>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0"/>
        <item x="1"/>
        <item x="3"/>
        <item x="2"/>
        <item t="default"/>
      </items>
    </pivotField>
    <pivotField axis="axisRow" dataField="1" showAll="0">
      <items count="6">
        <item x="2"/>
        <item x="0"/>
        <item m="1" x="4"/>
        <item m="1" x="3"/>
        <item x="1"/>
        <item t="default"/>
      </items>
    </pivotField>
    <pivotField showAll="0"/>
    <pivotField showAll="0"/>
    <pivotField showAll="0"/>
    <pivotField showAll="0"/>
    <pivotField showAll="0"/>
    <pivotField showAll="0"/>
    <pivotField showAll="0">
      <items count="4">
        <item x="0"/>
        <item x="2"/>
        <item x="1"/>
        <item t="default"/>
      </items>
    </pivotField>
  </pivotFields>
  <rowFields count="2">
    <field x="4"/>
    <field x="22"/>
  </rowFields>
  <rowItems count="28">
    <i>
      <x/>
    </i>
    <i r="1">
      <x/>
    </i>
    <i r="1">
      <x v="1"/>
    </i>
    <i r="1">
      <x v="4"/>
    </i>
    <i>
      <x v="1"/>
    </i>
    <i r="1">
      <x v="1"/>
    </i>
    <i r="1">
      <x v="4"/>
    </i>
    <i>
      <x v="2"/>
    </i>
    <i r="1">
      <x/>
    </i>
    <i r="1">
      <x v="1"/>
    </i>
    <i r="1">
      <x v="4"/>
    </i>
    <i>
      <x v="3"/>
    </i>
    <i r="1">
      <x/>
    </i>
    <i r="1">
      <x v="1"/>
    </i>
    <i r="1">
      <x v="4"/>
    </i>
    <i>
      <x v="4"/>
    </i>
    <i r="1">
      <x/>
    </i>
    <i r="1">
      <x v="1"/>
    </i>
    <i r="1">
      <x v="4"/>
    </i>
    <i>
      <x v="5"/>
    </i>
    <i r="1">
      <x/>
    </i>
    <i r="1">
      <x v="1"/>
    </i>
    <i r="1">
      <x v="4"/>
    </i>
    <i>
      <x v="6"/>
    </i>
    <i r="1">
      <x/>
    </i>
    <i r="1">
      <x v="1"/>
    </i>
    <i r="1">
      <x v="4"/>
    </i>
    <i t="grand">
      <x/>
    </i>
  </rowItems>
  <colFields count="1">
    <field x="21"/>
  </colFields>
  <colItems count="5">
    <i>
      <x/>
    </i>
    <i>
      <x v="1"/>
    </i>
    <i>
      <x v="2"/>
    </i>
    <i>
      <x v="3"/>
    </i>
    <i t="grand">
      <x/>
    </i>
  </colItems>
  <dataFields count="1">
    <dataField name="Count of BP category"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A1E919B-C564-48BC-BCBE-522467F4E216}" name="PivotTable24"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T22:AV34" firstHeaderRow="0" firstDataRow="1" firstDataCol="1"/>
  <pivotFields count="30">
    <pivotField showAll="0"/>
    <pivotField showAll="0"/>
    <pivotField showAll="0"/>
    <pivotField showAll="0">
      <items count="3">
        <item x="0"/>
        <item x="1"/>
        <item t="default"/>
      </items>
    </pivotField>
    <pivotField showAll="0"/>
    <pivotField showAll="0">
      <items count="8">
        <item x="1"/>
        <item x="5"/>
        <item x="3"/>
        <item x="2"/>
        <item x="4"/>
        <item x="6"/>
        <item x="0"/>
        <item t="default"/>
      </items>
    </pivotField>
    <pivotField showAll="0"/>
    <pivotField showAll="0"/>
    <pivotField showAll="0"/>
    <pivotField showAll="0"/>
    <pivotField showAll="0"/>
    <pivotField showAll="0"/>
    <pivotField showAll="0"/>
    <pivotField axis="axisRow" showAll="0">
      <items count="12">
        <item x="10"/>
        <item x="7"/>
        <item x="1"/>
        <item x="4"/>
        <item x="0"/>
        <item x="6"/>
        <item x="8"/>
        <item x="5"/>
        <item x="9"/>
        <item x="2"/>
        <item x="3"/>
        <item t="default"/>
      </items>
    </pivotField>
    <pivotField showAll="0"/>
    <pivotField showAll="0"/>
    <pivotField dataField="1" showAll="0"/>
    <pivotField dataField="1"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4">
        <item x="0"/>
        <item x="2"/>
        <item x="1"/>
        <item t="default"/>
      </items>
    </pivotField>
  </pivotFields>
  <rowFields count="1">
    <field x="13"/>
  </rowFields>
  <rowItems count="12">
    <i>
      <x/>
    </i>
    <i>
      <x v="1"/>
    </i>
    <i>
      <x v="2"/>
    </i>
    <i>
      <x v="3"/>
    </i>
    <i>
      <x v="4"/>
    </i>
    <i>
      <x v="5"/>
    </i>
    <i>
      <x v="6"/>
    </i>
    <i>
      <x v="7"/>
    </i>
    <i>
      <x v="8"/>
    </i>
    <i>
      <x v="9"/>
    </i>
    <i>
      <x v="10"/>
    </i>
    <i t="grand">
      <x/>
    </i>
  </rowItems>
  <colFields count="1">
    <field x="-2"/>
  </colFields>
  <colItems count="2">
    <i>
      <x/>
    </i>
    <i i="1">
      <x v="1"/>
    </i>
  </colItems>
  <dataFields count="2">
    <dataField name="Sum of Sick_Days_2023" fld="16" baseField="0" baseItem="0"/>
    <dataField name="Sum of Sick_Days_2024"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14A3BAF-55A2-4A65-8861-BD42A3455D4B}"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Z3:BA6" firstHeaderRow="1" firstDataRow="1" firstDataCol="1"/>
  <pivotFields count="30">
    <pivotField dataField="1" showAll="0"/>
    <pivotField showAll="0"/>
    <pivotField showAll="0"/>
    <pivotField showAll="0">
      <items count="3">
        <item x="0"/>
        <item x="1"/>
        <item t="default"/>
      </items>
    </pivotField>
    <pivotField showAll="0"/>
    <pivotField showAll="0">
      <items count="8">
        <item x="1"/>
        <item x="5"/>
        <item x="3"/>
        <item x="2"/>
        <item x="4"/>
        <item x="6"/>
        <item x="0"/>
        <item t="default"/>
      </items>
    </pivotField>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4">
        <item x="0"/>
        <item x="2"/>
        <item x="1"/>
        <item t="default"/>
      </items>
    </pivotField>
  </pivotFields>
  <rowFields count="1">
    <field x="14"/>
  </rowFields>
  <rowItems count="3">
    <i>
      <x/>
    </i>
    <i>
      <x v="1"/>
    </i>
    <i t="grand">
      <x/>
    </i>
  </rowItems>
  <colItems count="1">
    <i/>
  </colItems>
  <dataFields count="1">
    <dataField name="Count of Employee_ID"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30C28AF-AEC1-4AAC-A88B-20614576B1D4}" name="PivotTable28"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M3:CN9" firstHeaderRow="1" firstDataRow="1" firstDataCol="1"/>
  <pivotFields count="30">
    <pivotField dataField="1" showAll="0"/>
    <pivotField showAll="0"/>
    <pivotField showAll="0"/>
    <pivotField showAll="0">
      <items count="3">
        <item x="0"/>
        <item x="1"/>
        <item t="default"/>
      </items>
    </pivotField>
    <pivotField showAll="0">
      <items count="8">
        <item x="2"/>
        <item x="5"/>
        <item x="1"/>
        <item x="3"/>
        <item x="6"/>
        <item x="0"/>
        <item x="4"/>
        <item t="default"/>
      </items>
    </pivotField>
    <pivotField showAll="0">
      <items count="8">
        <item x="1"/>
        <item x="5"/>
        <item x="3"/>
        <item x="2"/>
        <item x="4"/>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3"/>
        <item x="0"/>
        <item m="1" x="5"/>
        <item x="4"/>
        <item x="2"/>
        <item x="1"/>
        <item t="default"/>
      </items>
    </pivotField>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4">
        <item x="0"/>
        <item x="2"/>
        <item x="1"/>
        <item t="default"/>
      </items>
    </pivotField>
  </pivotFields>
  <rowFields count="1">
    <field x="18"/>
  </rowFields>
  <rowItems count="6">
    <i>
      <x/>
    </i>
    <i>
      <x v="1"/>
    </i>
    <i>
      <x v="3"/>
    </i>
    <i>
      <x v="4"/>
    </i>
    <i>
      <x v="5"/>
    </i>
    <i t="grand">
      <x/>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ABBA9E3-6D80-4AE5-8DBC-EE2E0C938BA2}" name="PivotTable8"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Q3:BV12" firstHeaderRow="1" firstDataRow="2" firstDataCol="1"/>
  <pivotFields count="30">
    <pivotField dataField="1" showAll="0"/>
    <pivotField showAll="0"/>
    <pivotField showAll="0"/>
    <pivotField showAll="0">
      <items count="3">
        <item x="0"/>
        <item x="1"/>
        <item t="default"/>
      </items>
    </pivotField>
    <pivotField showAll="0"/>
    <pivotField axis="axisRow" showAll="0">
      <items count="8">
        <item x="1"/>
        <item x="5"/>
        <item x="3"/>
        <item x="2"/>
        <item x="4"/>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7">
        <item x="3"/>
        <item x="0"/>
        <item m="1" x="5"/>
        <item x="4"/>
        <item h="1" x="2"/>
        <item x="1"/>
        <item t="default"/>
      </items>
    </pivotField>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4">
        <item x="0"/>
        <item x="2"/>
        <item x="1"/>
        <item t="default"/>
      </items>
    </pivotField>
  </pivotFields>
  <rowFields count="1">
    <field x="5"/>
  </rowFields>
  <rowItems count="8">
    <i>
      <x/>
    </i>
    <i>
      <x v="1"/>
    </i>
    <i>
      <x v="2"/>
    </i>
    <i>
      <x v="3"/>
    </i>
    <i>
      <x v="4"/>
    </i>
    <i>
      <x v="5"/>
    </i>
    <i>
      <x v="6"/>
    </i>
    <i t="grand">
      <x/>
    </i>
  </rowItems>
  <colFields count="1">
    <field x="18"/>
  </colFields>
  <colItems count="5">
    <i>
      <x/>
    </i>
    <i>
      <x v="1"/>
    </i>
    <i>
      <x v="3"/>
    </i>
    <i>
      <x v="5"/>
    </i>
    <i t="grand">
      <x/>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4F361AE-4028-4D79-9C91-EF93074FD5B9}" name="PivotTable1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O3:AP8" firstHeaderRow="1" firstDataRow="1" firstDataCol="1"/>
  <pivotFields count="30">
    <pivotField dataField="1" showAll="0"/>
    <pivotField showAll="0"/>
    <pivotField showAll="0"/>
    <pivotField showAll="0">
      <items count="3">
        <item x="0"/>
        <item x="1"/>
        <item t="default"/>
      </items>
    </pivotField>
    <pivotField showAll="0"/>
    <pivotField showAll="0">
      <items count="8">
        <item x="1"/>
        <item x="5"/>
        <item x="3"/>
        <item x="2"/>
        <item x="4"/>
        <item x="6"/>
        <item x="0"/>
        <item t="default"/>
      </items>
    </pivotField>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4">
        <item x="0"/>
        <item x="2"/>
        <item x="1"/>
        <item t="default"/>
      </items>
    </pivotField>
  </pivotFields>
  <rowFields count="1">
    <field x="11"/>
  </rowFields>
  <rowItems count="5">
    <i>
      <x/>
    </i>
    <i>
      <x v="1"/>
    </i>
    <i>
      <x v="2"/>
    </i>
    <i>
      <x v="3"/>
    </i>
    <i t="grand">
      <x/>
    </i>
  </rowItems>
  <colItems count="1">
    <i/>
  </colItems>
  <dataFields count="1">
    <dataField name="Count of Employee_ID"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A75C862-1D18-4101-B1AC-68D5C1A1843E}" name="PivotTable26"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H12:CI16" firstHeaderRow="1" firstDataRow="1" firstDataCol="1"/>
  <pivotFields count="30">
    <pivotField dataField="1" showAll="0"/>
    <pivotField showAll="0"/>
    <pivotField showAll="0"/>
    <pivotField showAll="0">
      <items count="3">
        <item x="0"/>
        <item x="1"/>
        <item t="default"/>
      </items>
    </pivotField>
    <pivotField showAll="0">
      <items count="8">
        <item x="2"/>
        <item x="5"/>
        <item x="1"/>
        <item x="3"/>
        <item x="6"/>
        <item x="0"/>
        <item x="4"/>
        <item t="default"/>
      </items>
    </pivotField>
    <pivotField showAll="0">
      <items count="8">
        <item x="1"/>
        <item x="5"/>
        <item x="3"/>
        <item x="2"/>
        <item x="4"/>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s>
  <rowFields count="1">
    <field x="29"/>
  </rowFields>
  <rowItems count="4">
    <i>
      <x/>
    </i>
    <i>
      <x v="1"/>
    </i>
    <i>
      <x v="2"/>
    </i>
    <i t="grand">
      <x/>
    </i>
  </rowItems>
  <colItems count="1">
    <i/>
  </colItems>
  <dataFields count="1">
    <dataField name="Count of Employee_ID"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64C9D76-0BBF-4AB6-8AA9-DCBB9249B680}" name="PivotTable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Z12:AZ20" firstHeaderRow="1" firstDataRow="1" firstDataCol="1"/>
  <pivotFields count="30">
    <pivotField axis="axisRow"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items count="3">
        <item x="0"/>
        <item x="1"/>
        <item t="default"/>
      </items>
    </pivotField>
    <pivotField showAll="0"/>
    <pivotField showAll="0">
      <items count="8">
        <item x="1"/>
        <item x="5"/>
        <item x="3"/>
        <item x="2"/>
        <item x="4"/>
        <item x="6"/>
        <item x="0"/>
        <item t="default"/>
      </items>
    </pivotField>
    <pivotField showAll="0"/>
    <pivotField showAll="0"/>
    <pivotField showAll="0"/>
    <pivotField showAll="0"/>
    <pivotField showAll="0"/>
    <pivotField showAll="0"/>
    <pivotField showAll="0"/>
    <pivotField showAll="0"/>
    <pivotField showAll="0"/>
    <pivotField axis="axisRow" showAll="0">
      <items count="26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t="default"/>
      </items>
    </pivotField>
    <pivotField showAll="0"/>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4">
        <item x="0"/>
        <item x="2"/>
        <item x="1"/>
        <item t="default"/>
      </items>
    </pivotField>
  </pivotFields>
  <rowFields count="2">
    <field x="15"/>
    <field x="0"/>
  </rowFields>
  <rowItems count="8">
    <i>
      <x v="87"/>
    </i>
    <i r="1">
      <x v="89"/>
    </i>
    <i r="1">
      <x v="119"/>
    </i>
    <i r="1">
      <x v="149"/>
    </i>
    <i r="1">
      <x v="209"/>
    </i>
    <i r="1">
      <x v="239"/>
    </i>
    <i r="1">
      <x v="26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7E50A58-F071-48C8-8F23-7C98CFE8FDBC}" name="PivotTable1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B11:CE15" firstHeaderRow="0" firstDataRow="1" firstDataCol="1"/>
  <pivotFields count="30">
    <pivotField dataField="1" showAll="0"/>
    <pivotField showAll="0"/>
    <pivotField showAll="0"/>
    <pivotField showAll="0">
      <items count="3">
        <item x="0"/>
        <item x="1"/>
        <item t="default"/>
      </items>
    </pivotField>
    <pivotField showAll="0">
      <items count="8">
        <item x="2"/>
        <item x="5"/>
        <item x="1"/>
        <item x="3"/>
        <item x="6"/>
        <item x="0"/>
        <item x="4"/>
        <item t="default"/>
      </items>
    </pivotField>
    <pivotField showAll="0">
      <items count="8">
        <item x="1"/>
        <item x="5"/>
        <item x="3"/>
        <item x="2"/>
        <item x="4"/>
        <item x="6"/>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s>
  <rowFields count="1">
    <field x="29"/>
  </rowFields>
  <rowItems count="4">
    <i>
      <x/>
    </i>
    <i>
      <x v="1"/>
    </i>
    <i>
      <x v="2"/>
    </i>
    <i t="grand">
      <x/>
    </i>
  </rowItems>
  <colFields count="1">
    <field x="-2"/>
  </colFields>
  <colItems count="3">
    <i>
      <x/>
    </i>
    <i i="1">
      <x v="1"/>
    </i>
    <i i="2">
      <x v="2"/>
    </i>
  </colItems>
  <dataFields count="3">
    <dataField name="Sum of Sick_Days_2024" fld="17" baseField="0" baseItem="0"/>
    <dataField name="Sum of Sick_Days_2023" fld="16" baseField="0" baseItem="0"/>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55E0A7B-908C-41C6-A41C-B2551FD2A046}" name="PivotTable6"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I7" firstHeaderRow="1" firstDataRow="1" firstDataCol="1"/>
  <pivotFields count="30">
    <pivotField showAll="0"/>
    <pivotField showAll="0"/>
    <pivotField showAll="0"/>
    <pivotField showAll="0">
      <items count="3">
        <item x="0"/>
        <item x="1"/>
        <item t="default"/>
      </items>
    </pivotField>
    <pivotField showAll="0"/>
    <pivotField showAll="0">
      <items count="8">
        <item x="1"/>
        <item x="5"/>
        <item x="3"/>
        <item x="2"/>
        <item x="4"/>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axis="axisRow" dataField="1" showAll="0">
      <items count="6">
        <item x="2"/>
        <item x="0"/>
        <item m="1" x="4"/>
        <item m="1" x="3"/>
        <item x="1"/>
        <item t="default"/>
      </items>
    </pivotField>
    <pivotField showAll="0"/>
    <pivotField showAll="0"/>
    <pivotField showAll="0"/>
    <pivotField showAll="0"/>
    <pivotField showAll="0"/>
    <pivotField showAll="0"/>
    <pivotField showAll="0">
      <items count="4">
        <item x="0"/>
        <item x="2"/>
        <item x="1"/>
        <item t="default"/>
      </items>
    </pivotField>
  </pivotFields>
  <rowFields count="1">
    <field x="22"/>
  </rowFields>
  <rowItems count="4">
    <i>
      <x/>
    </i>
    <i>
      <x v="1"/>
    </i>
    <i>
      <x v="4"/>
    </i>
    <i t="grand">
      <x/>
    </i>
  </rowItems>
  <colItems count="1">
    <i/>
  </colItems>
  <dataFields count="1">
    <dataField name="Count of BP category" fld="22" subtotal="count" showDataAs="percentOfCol" baseField="0" baseItem="0" numFmtId="10"/>
  </dataFields>
  <formats count="3">
    <format dxfId="10">
      <pivotArea collapsedLevelsAreSubtotals="1" fieldPosition="0">
        <references count="1">
          <reference field="22" count="1">
            <x v="0"/>
          </reference>
        </references>
      </pivotArea>
    </format>
    <format dxfId="9">
      <pivotArea collapsedLevelsAreSubtotals="1" fieldPosition="0">
        <references count="1">
          <reference field="22" count="1">
            <x v="1"/>
          </reference>
        </references>
      </pivotArea>
    </format>
    <format dxfId="8">
      <pivotArea collapsedLevelsAreSubtotals="1" fieldPosition="0">
        <references count="1">
          <reference field="22"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3A50F3D-0512-476C-BCA2-A4FEA4594B75}" name="PivotTable2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H7:CJ8" firstHeaderRow="0" firstDataRow="1" firstDataCol="0"/>
  <pivotFields count="30">
    <pivotField dataField="1" showAll="0"/>
    <pivotField showAll="0"/>
    <pivotField showAll="0"/>
    <pivotField showAll="0">
      <items count="3">
        <item x="0"/>
        <item x="1"/>
        <item t="default"/>
      </items>
    </pivotField>
    <pivotField showAll="0">
      <items count="8">
        <item x="2"/>
        <item x="5"/>
        <item x="1"/>
        <item x="3"/>
        <item x="6"/>
        <item x="0"/>
        <item x="4"/>
        <item t="default"/>
      </items>
    </pivotField>
    <pivotField showAll="0">
      <items count="8">
        <item x="1"/>
        <item x="5"/>
        <item x="3"/>
        <item x="2"/>
        <item x="4"/>
        <item x="6"/>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4">
        <item x="0"/>
        <item x="2"/>
        <item x="1"/>
        <item t="default"/>
      </items>
    </pivotField>
  </pivotFields>
  <rowItems count="1">
    <i/>
  </rowItems>
  <colFields count="1">
    <field x="-2"/>
  </colFields>
  <colItems count="3">
    <i>
      <x/>
    </i>
    <i i="1">
      <x v="1"/>
    </i>
    <i i="2">
      <x v="2"/>
    </i>
  </colItems>
  <dataFields count="3">
    <dataField name="Count of Employee_ID" fld="0" subtotal="count" baseField="0" baseItem="0"/>
    <dataField name="Sum of Sick_Days_2024" fld="17" baseField="0" baseItem="0"/>
    <dataField name="Sum of Sick_Days_2023"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1594B3E-4CAF-48DD-BF6F-3E8FF605980D}" name="PivotTable20"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D21" firstHeaderRow="1" firstDataRow="2" firstDataCol="1"/>
  <pivotFields count="30">
    <pivotField showAll="0"/>
    <pivotField showAll="0"/>
    <pivotField showAll="0"/>
    <pivotField axis="axisCol" showAll="0">
      <items count="3">
        <item x="0"/>
        <item x="1"/>
        <item t="default"/>
      </items>
    </pivotField>
    <pivotField showAll="0"/>
    <pivotField showAll="0">
      <items count="8">
        <item x="1"/>
        <item x="5"/>
        <item x="3"/>
        <item x="2"/>
        <item x="4"/>
        <item x="6"/>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 showAll="0">
      <items count="4">
        <item x="0"/>
        <item x="2"/>
        <item x="1"/>
        <item t="default"/>
      </items>
    </pivotField>
  </pivotFields>
  <rowFields count="1">
    <field x="21"/>
  </rowFields>
  <rowItems count="5">
    <i>
      <x/>
    </i>
    <i>
      <x v="1"/>
    </i>
    <i>
      <x v="2"/>
    </i>
    <i>
      <x v="3"/>
    </i>
    <i t="grand">
      <x/>
    </i>
  </rowItems>
  <colFields count="1">
    <field x="3"/>
  </colFields>
  <colItems count="3">
    <i>
      <x/>
    </i>
    <i>
      <x v="1"/>
    </i>
    <i t="grand">
      <x/>
    </i>
  </colItems>
  <dataFields count="1">
    <dataField name="Count of BMI" fld="6" subtotal="count" showDataAs="percentOfCol" baseField="0" baseItem="9"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8365189-F39A-44C7-BEF0-8AF182B4F64B}" name="PivotTable9"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I3:AL11" firstHeaderRow="0" firstDataRow="1" firstDataCol="1"/>
  <pivotFields count="30">
    <pivotField dataField="1" showAll="0"/>
    <pivotField showAll="0"/>
    <pivotField showAll="0"/>
    <pivotField showAll="0">
      <items count="3">
        <item x="0"/>
        <item x="1"/>
        <item t="default"/>
      </items>
    </pivotField>
    <pivotField axis="axisRow" showAll="0">
      <items count="8">
        <item x="2"/>
        <item x="5"/>
        <item x="1"/>
        <item x="3"/>
        <item x="6"/>
        <item x="0"/>
        <item x="4"/>
        <item t="default"/>
      </items>
    </pivotField>
    <pivotField showAll="0">
      <items count="8">
        <item x="1"/>
        <item x="5"/>
        <item x="3"/>
        <item x="2"/>
        <item x="4"/>
        <item x="6"/>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4">
        <item x="0"/>
        <item x="2"/>
        <item x="1"/>
        <item t="default"/>
      </items>
    </pivotField>
  </pivotFields>
  <rowFields count="1">
    <field x="4"/>
  </rowFields>
  <rowItems count="8">
    <i>
      <x/>
    </i>
    <i>
      <x v="1"/>
    </i>
    <i>
      <x v="2"/>
    </i>
    <i>
      <x v="3"/>
    </i>
    <i>
      <x v="4"/>
    </i>
    <i>
      <x v="5"/>
    </i>
    <i>
      <x v="6"/>
    </i>
    <i t="grand">
      <x/>
    </i>
  </rowItems>
  <colFields count="1">
    <field x="-2"/>
  </colFields>
  <colItems count="3">
    <i>
      <x/>
    </i>
    <i i="1">
      <x v="1"/>
    </i>
    <i i="2">
      <x v="2"/>
    </i>
  </colItems>
  <dataFields count="3">
    <dataField name="Sum of Sick_Days_2023" fld="16" baseField="4" baseItem="0"/>
    <dataField name="Sum of Sick_Days_2024" fld="17" baseField="4" baseItem="0"/>
    <dataField name="Count of Employee_ID" fld="0" subtotal="count" baseField="0" baseItem="0"/>
  </dataFields>
  <chartFormats count="13">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FB3E24D-00F2-4459-AEFE-610FF7F780E5}"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8" firstHeaderRow="0" firstDataRow="1" firstDataCol="1"/>
  <pivotFields count="30">
    <pivotField dataField="1" showAll="0"/>
    <pivotField showAll="0"/>
    <pivotField showAll="0"/>
    <pivotField showAll="0">
      <items count="3">
        <item x="0"/>
        <item x="1"/>
        <item t="default"/>
      </items>
    </pivotField>
    <pivotField showAll="0"/>
    <pivotField showAll="0">
      <items count="8">
        <item x="1"/>
        <item x="5"/>
        <item x="3"/>
        <item x="2"/>
        <item x="4"/>
        <item x="6"/>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items count="5">
        <item x="0"/>
        <item x="1"/>
        <item x="3"/>
        <item x="2"/>
        <item t="default"/>
      </items>
    </pivotField>
    <pivotField showAll="0"/>
    <pivotField showAll="0"/>
    <pivotField showAll="0"/>
    <pivotField showAll="0"/>
    <pivotField showAll="0"/>
    <pivotField showAll="0"/>
    <pivotField showAll="0"/>
    <pivotField showAll="0">
      <items count="4">
        <item x="0"/>
        <item x="2"/>
        <item x="1"/>
        <item t="default"/>
      </items>
    </pivotField>
  </pivotFields>
  <rowFields count="1">
    <field x="20"/>
  </rowFields>
  <rowItems count="5">
    <i>
      <x/>
    </i>
    <i>
      <x v="1"/>
    </i>
    <i>
      <x v="2"/>
    </i>
    <i>
      <x v="3"/>
    </i>
    <i t="grand">
      <x/>
    </i>
  </rowItems>
  <colFields count="1">
    <field x="-2"/>
  </colFields>
  <colItems count="2">
    <i>
      <x/>
    </i>
    <i i="1">
      <x v="1"/>
    </i>
  </colItems>
  <dataFields count="2">
    <dataField name="Count of BMI" fld="6" subtotal="count" showDataAs="percentOfCol" baseField="0" baseItem="9" numFmtId="10"/>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E16ED0EE-1688-4C59-89D1-18BB4AE38195}" name="PivotTable2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T4:AT5" firstHeaderRow="1" firstDataRow="1" firstDataCol="0"/>
  <pivotFields count="30">
    <pivotField showAll="0"/>
    <pivotField showAll="0"/>
    <pivotField showAll="0"/>
    <pivotField showAll="0">
      <items count="3">
        <item x="0"/>
        <item x="1"/>
        <item t="default"/>
      </items>
    </pivotField>
    <pivotField showAll="0"/>
    <pivotField showAll="0">
      <items count="8">
        <item x="1"/>
        <item x="5"/>
        <item x="3"/>
        <item x="2"/>
        <item x="4"/>
        <item x="6"/>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4">
        <item x="0"/>
        <item x="2"/>
        <item x="1"/>
        <item t="default"/>
      </items>
    </pivotField>
  </pivotFields>
  <rowItems count="1">
    <i/>
  </rowItems>
  <colItems count="1">
    <i/>
  </colItems>
  <dataFields count="1">
    <dataField name="Average of Mental_Health_Score" fld="13" subtotal="average"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046042-5EE1-4474-ADD3-7EFB70F4CE6E}" autoFormatId="16" applyNumberFormats="0" applyBorderFormats="0" applyFontFormats="0" applyPatternFormats="0" applyAlignmentFormats="0" applyWidthHeightFormats="0">
  <queryTableRefresh nextId="38" unboundColumnsRight="10">
    <queryTableFields count="30">
      <queryTableField id="1" name="Employee_ID" tableColumnId="21"/>
      <queryTableField id="2" name="Full Name" tableColumnId="2"/>
      <queryTableField id="3" name="Age" tableColumnId="3"/>
      <queryTableField id="4" name="Gender" tableColumnId="4"/>
      <queryTableField id="21" name="Department" tableColumnId="23"/>
      <queryTableField id="6" name="State" tableColumnId="6"/>
      <queryTableField id="7" name="BMI" tableColumnId="7"/>
      <queryTableField id="8" name="Blood_Pressure_Systolic" tableColumnId="8"/>
      <queryTableField id="9" name="Blood_Pressure_Diastolic" tableColumnId="9"/>
      <queryTableField id="10" name="Cholesterol_Level" tableColumnId="10"/>
      <queryTableField id="11" name="Blood_Glucose" tableColumnId="11"/>
      <queryTableField id="12" name="Smoking_Status" tableColumnId="12"/>
      <queryTableField id="13" name="Physical_Activity_Days_Per_Week" tableColumnId="13"/>
      <queryTableField id="14" name="Mental_Health_Score" tableColumnId="14"/>
      <queryTableField id="15" name="Health_Insurance" tableColumnId="15"/>
      <queryTableField id="22" name="Last_Checkup_date" tableColumnId="24"/>
      <queryTableField id="17" name="Sick_Days_2023" tableColumnId="17"/>
      <queryTableField id="18" name="Sick_Days_2024" tableColumnId="18"/>
      <queryTableField id="19" name="Chronic_Condition" tableColumnId="19"/>
      <queryTableField id="20" name="Vaccination_Status" tableColumnId="20"/>
      <queryTableField id="27" dataBound="0" tableColumnId="1"/>
      <queryTableField id="28" dataBound="0" tableColumnId="5"/>
      <queryTableField id="29" dataBound="0" tableColumnId="16"/>
      <queryTableField id="30" dataBound="0" tableColumnId="22"/>
      <queryTableField id="31" dataBound="0" tableColumnId="25"/>
      <queryTableField id="32" dataBound="0" tableColumnId="26"/>
      <queryTableField id="33" dataBound="0" tableColumnId="27"/>
      <queryTableField id="34" dataBound="0" tableColumnId="28"/>
      <queryTableField id="35" dataBound="0" tableColumnId="29"/>
      <queryTableField id="36" dataBound="0"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61A489E-7E8E-4E8E-8A5C-F28297554912}" sourceName="Age group">
  <pivotTables>
    <pivotTable tabId="9" name="PivotTable7"/>
    <pivotTable tabId="9" name="PivotTable1"/>
    <pivotTable tabId="9" name="PivotTable10"/>
    <pivotTable tabId="9" name="PivotTable11"/>
    <pivotTable tabId="9" name="PivotTable12"/>
    <pivotTable tabId="9" name="PivotTable13"/>
    <pivotTable tabId="9" name="PivotTable14"/>
    <pivotTable tabId="9" name="PivotTable15"/>
    <pivotTable tabId="9" name="PivotTable16"/>
    <pivotTable tabId="9" name="PivotTable17"/>
    <pivotTable tabId="9" name="PivotTable18"/>
    <pivotTable tabId="9" name="PivotTable19"/>
    <pivotTable tabId="9" name="PivotTable2"/>
    <pivotTable tabId="9" name="PivotTable20"/>
    <pivotTable tabId="9" name="PivotTable21"/>
    <pivotTable tabId="9" name="PivotTable22"/>
    <pivotTable tabId="9" name="PivotTable23"/>
    <pivotTable tabId="9" name="PivotTable24"/>
    <pivotTable tabId="9" name="PivotTable25"/>
    <pivotTable tabId="9" name="PivotTable26"/>
    <pivotTable tabId="9" name="PivotTable27"/>
    <pivotTable tabId="9" name="PivotTable3"/>
    <pivotTable tabId="9" name="PivotTable4"/>
    <pivotTable tabId="9" name="PivotTable5"/>
    <pivotTable tabId="9" name="PivotTable6"/>
    <pivotTable tabId="9" name="PivotTable8"/>
    <pivotTable tabId="9" name="PivotTable9"/>
    <pivotTable tabId="9" name="PivotTable28"/>
  </pivotTables>
  <data>
    <tabular pivotCacheId="772619860">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C03862AB-3F23-4127-8B62-DF03A7BD62AF}" sourceName="Gender">
  <pivotTables>
    <pivotTable tabId="9" name="PivotTable8"/>
    <pivotTable tabId="9" name="PivotTable1"/>
    <pivotTable tabId="9" name="PivotTable10"/>
    <pivotTable tabId="9" name="PivotTable11"/>
    <pivotTable tabId="9" name="PivotTable12"/>
    <pivotTable tabId="9" name="PivotTable13"/>
    <pivotTable tabId="9" name="PivotTable14"/>
    <pivotTable tabId="9" name="PivotTable15"/>
    <pivotTable tabId="9" name="PivotTable16"/>
    <pivotTable tabId="9" name="PivotTable17"/>
    <pivotTable tabId="9" name="PivotTable18"/>
    <pivotTable tabId="9" name="PivotTable19"/>
    <pivotTable tabId="9" name="PivotTable2"/>
    <pivotTable tabId="9" name="PivotTable20"/>
    <pivotTable tabId="9" name="PivotTable21"/>
    <pivotTable tabId="9" name="PivotTable22"/>
    <pivotTable tabId="9" name="PivotTable23"/>
    <pivotTable tabId="9" name="PivotTable24"/>
    <pivotTable tabId="9" name="PivotTable25"/>
    <pivotTable tabId="9" name="PivotTable26"/>
    <pivotTable tabId="9" name="PivotTable27"/>
    <pivotTable tabId="9" name="PivotTable3"/>
    <pivotTable tabId="9" name="PivotTable4"/>
    <pivotTable tabId="9" name="PivotTable5"/>
    <pivotTable tabId="9" name="PivotTable6"/>
    <pivotTable tabId="9" name="PivotTable7"/>
    <pivotTable tabId="9" name="PivotTable9"/>
    <pivotTable tabId="9" name="PivotTable28"/>
  </pivotTables>
  <data>
    <tabular pivotCacheId="77261986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97DCE52-93FD-442F-AD02-3B602EA45DBD}" sourceName="State">
  <pivotTables>
    <pivotTable tabId="9" name="PivotTable7"/>
    <pivotTable tabId="9" name="PivotTable1"/>
    <pivotTable tabId="9" name="PivotTable10"/>
    <pivotTable tabId="9" name="PivotTable11"/>
    <pivotTable tabId="9" name="PivotTable12"/>
    <pivotTable tabId="9" name="PivotTable13"/>
    <pivotTable tabId="9" name="PivotTable14"/>
    <pivotTable tabId="9" name="PivotTable15"/>
    <pivotTable tabId="9" name="PivotTable16"/>
    <pivotTable tabId="9" name="PivotTable17"/>
    <pivotTable tabId="9" name="PivotTable18"/>
    <pivotTable tabId="9" name="PivotTable19"/>
    <pivotTable tabId="9" name="PivotTable2"/>
    <pivotTable tabId="9" name="PivotTable20"/>
    <pivotTable tabId="9" name="PivotTable21"/>
    <pivotTable tabId="9" name="PivotTable22"/>
    <pivotTable tabId="9" name="PivotTable23"/>
    <pivotTable tabId="9" name="PivotTable24"/>
    <pivotTable tabId="9" name="PivotTable25"/>
    <pivotTable tabId="9" name="PivotTable26"/>
    <pivotTable tabId="9" name="PivotTable27"/>
    <pivotTable tabId="9" name="PivotTable3"/>
    <pivotTable tabId="9" name="PivotTable4"/>
    <pivotTable tabId="9" name="PivotTable5"/>
    <pivotTable tabId="9" name="PivotTable6"/>
    <pivotTable tabId="9" name="PivotTable8"/>
    <pivotTable tabId="9" name="PivotTable9"/>
    <pivotTable tabId="9" name="PivotTable28"/>
  </pivotTables>
  <data>
    <tabular pivotCacheId="772619860">
      <items count="7">
        <i x="1" s="1"/>
        <i x="5" s="1"/>
        <i x="3" s="1"/>
        <i x="2" s="1"/>
        <i x="4"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E1748A00-B95B-4225-9F34-B4BE2BA90CB6}" cache="Slicer_Age_group" caption="Age group" showCaption="0" style="Slicer Style 1" rowHeight="241300"/>
  <slicer name="Gender 1" xr10:uid="{E852D804-389A-4808-B7E9-123EF8B889DF}" cache="Slicer_Gender1" caption="Gender" showCaption="0" style="Slicer Style 1" rowHeight="241300"/>
  <slicer name="State" xr10:uid="{4A6FE2E2-BBEA-4D2E-8706-B9DDC541C855}" cache="Slicer_State" caption="State" showCaption="0"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5D3896-0996-4533-BFFE-2B24B427BC39}" name="Table1_2" displayName="Table1_2" ref="A1:AD301" tableType="queryTable" totalsRowShown="0">
  <autoFilter ref="A1:AD301" xr:uid="{F25D3896-0996-4533-BFFE-2B24B427BC39}"/>
  <tableColumns count="30">
    <tableColumn id="21" xr3:uid="{4FB38113-085F-4F16-8A69-FE77736D40F5}" uniqueName="21" name="Employee_ID" queryTableFieldId="1" dataDxfId="30"/>
    <tableColumn id="2" xr3:uid="{6F38854B-CBCC-477B-8375-DF989F8C93D9}" uniqueName="2" name="Full Name" queryTableFieldId="2" dataDxfId="29"/>
    <tableColumn id="3" xr3:uid="{E194489B-0472-4E91-86F2-0BB5684762EC}" uniqueName="3" name="Age" queryTableFieldId="3"/>
    <tableColumn id="4" xr3:uid="{75C8764D-B063-46F0-9031-F0821813DF56}" uniqueName="4" name="Gender" queryTableFieldId="4" dataDxfId="28"/>
    <tableColumn id="23" xr3:uid="{5A5EDEF8-EDB4-498A-915B-1A65B269DF12}" uniqueName="23" name="Department" queryTableFieldId="21" dataDxfId="27"/>
    <tableColumn id="6" xr3:uid="{C32E9E33-BE86-4D7F-9CF6-F29112087C61}" uniqueName="6" name="State" queryTableFieldId="6" dataDxfId="26"/>
    <tableColumn id="7" xr3:uid="{81C1B370-B322-4869-B724-E69E985969A5}" uniqueName="7" name="BMI" queryTableFieldId="7"/>
    <tableColumn id="8" xr3:uid="{7E7F889B-CB3A-40C7-B37E-3B939B6B76BB}" uniqueName="8" name="Blood_Pressure_Systolic" queryTableFieldId="8"/>
    <tableColumn id="9" xr3:uid="{4F8F377C-D75D-487E-93C5-7EE381985FC5}" uniqueName="9" name="Blood_Pressure_Diastolic" queryTableFieldId="9"/>
    <tableColumn id="10" xr3:uid="{63E12314-6759-48DF-B2E1-0D71C09C0645}" uniqueName="10" name="Cholesterol_Level" queryTableFieldId="10"/>
    <tableColumn id="11" xr3:uid="{2B7928E4-0EE4-4146-A864-2DE0C5376785}" uniqueName="11" name="Blood_Glucose" queryTableFieldId="11"/>
    <tableColumn id="12" xr3:uid="{6B2E3C49-46CC-4759-80FF-01A5E55D8C48}" uniqueName="12" name="Smoking_Status" queryTableFieldId="12" dataDxfId="25"/>
    <tableColumn id="13" xr3:uid="{90D9240A-CDCD-4428-A45D-377E4EB9EECA}" uniqueName="13" name="Physical_Activity_Days_Per_Week" queryTableFieldId="13"/>
    <tableColumn id="14" xr3:uid="{CF3715B8-C7FA-4354-827F-D3B1A9C6DFCA}" uniqueName="14" name="Mental_Health_Score" queryTableFieldId="14"/>
    <tableColumn id="15" xr3:uid="{E1540F35-D630-4E58-B0A7-2BD767B1F567}" uniqueName="15" name="Health_Insurance" queryTableFieldId="15" dataDxfId="24"/>
    <tableColumn id="24" xr3:uid="{8E784DD1-9A61-4C07-B754-EC2E20D2C083}" uniqueName="24" name="Last_Checkup_date" queryTableFieldId="22" dataDxfId="23"/>
    <tableColumn id="17" xr3:uid="{B755557B-3153-4E79-BAC0-4501C6F95E2A}" uniqueName="17" name="Sick_Days_2023" queryTableFieldId="17"/>
    <tableColumn id="18" xr3:uid="{0AE4D0D7-6AD6-46E0-8BBD-E2FF23F3BD8A}" uniqueName="18" name="Sick_Days_2024" queryTableFieldId="18"/>
    <tableColumn id="19" xr3:uid="{3C165CB6-200C-4CC6-B8A1-2308B4CF27D7}" uniqueName="19" name="Chronic_Condition" queryTableFieldId="19" dataDxfId="22"/>
    <tableColumn id="20" xr3:uid="{576A846B-5CF4-471F-8869-F6A865E08324}" uniqueName="20" name="Vaccination_Status" queryTableFieldId="20" dataDxfId="21"/>
    <tableColumn id="1" xr3:uid="{4D595C51-3B06-4C58-80BB-18572E78D431}" uniqueName="1" name="BMI category" queryTableFieldId="27" dataDxfId="20">
      <calculatedColumnFormula>IF(G2&lt;18.5,"Underweight",IF(G2&lt;=24.9,"Normal",IF(G2&lt;=29.9,"Overweight","Obese")))</calculatedColumnFormula>
    </tableColumn>
    <tableColumn id="5" xr3:uid="{B9375DBA-976C-4397-938E-ED27629318D2}" uniqueName="5" name="Age group" queryTableFieldId="28" dataDxfId="19">
      <calculatedColumnFormula>IF(C2&lt;=30,"Young adult",IF(C2&lt;=40,"Adult",IF(C2&lt;=50,"Elder","Aged")))</calculatedColumnFormula>
    </tableColumn>
    <tableColumn id="16" xr3:uid="{3F8FCD6F-8ED6-4B7F-BDDA-A0AC8F139435}" uniqueName="16" name="BP category" queryTableFieldId="29" dataDxfId="18">
      <calculatedColumnFormula>IF(OR(H2&lt;90,I2&lt;60), "Low BP",IF(AND(H2&lt;120,I2&lt;80),"Normal",IF(AND(H2&gt;=120,H2&lt;130,I2&lt;80),"Elevated","High Bp")))</calculatedColumnFormula>
    </tableColumn>
    <tableColumn id="22" xr3:uid="{5E2D3FCC-D1DF-4440-9D4C-108494F1D500}" uniqueName="22" name="bp score" queryTableFieldId="30" dataDxfId="17">
      <calculatedColumnFormula>IF(W2="HIGH bp",1,0)</calculatedColumnFormula>
    </tableColumn>
    <tableColumn id="25" xr3:uid="{F563C926-930E-45DB-A80B-FC82ACFA3B52}" uniqueName="25" name="bmi score" queryTableFieldId="31" dataDxfId="16">
      <calculatedColumnFormula>IF(U2="obese",1,0)</calculatedColumnFormula>
    </tableColumn>
    <tableColumn id="26" xr3:uid="{4B472D56-C185-41A6-93B0-7E3C7AFC2072}" uniqueName="26" name="Csmoking score" queryTableFieldId="32" dataDxfId="15">
      <calculatedColumnFormula>IF(L2="current smoker",1,0)</calculatedColumnFormula>
    </tableColumn>
    <tableColumn id="27" xr3:uid="{9428A302-894B-4400-BC9E-1BA7607FEC09}" uniqueName="27" name="Condition score" queryTableFieldId="33" dataDxfId="14">
      <calculatedColumnFormula>IF(S2="none",0,1)</calculatedColumnFormula>
    </tableColumn>
    <tableColumn id="28" xr3:uid="{7A19A933-C7C8-499D-8B2A-7F08252E0904}" uniqueName="28" name="Cholesterol score" queryTableFieldId="34" dataDxfId="13">
      <calculatedColumnFormula>IF(J2&gt;200,1,0)</calculatedColumnFormula>
    </tableColumn>
    <tableColumn id="29" xr3:uid="{93F605E8-D88D-4E79-8BCD-84D37752345D}" uniqueName="29" name="risk score" queryTableFieldId="35" dataDxfId="12">
      <calculatedColumnFormula>SUM(Table1_2[[#This Row],[bp score]],Table1_2[[#This Row],[bmi score]],Table1_2[[#This Row],[Csmoking score]],Table1_2[[#This Row],[Condition score]],Table1_2[[#This Row],[Cholesterol score]],)</calculatedColumnFormula>
    </tableColumn>
    <tableColumn id="30" xr3:uid="{ACF0F5F9-7965-42E5-886F-F956D49AEB75}" uniqueName="30" name="risk category" queryTableFieldId="36" dataDxfId="11">
      <calculatedColumnFormula>IF(AC2&gt;=4,"High risk", IF(AC2&gt;=2, "Medium risk", "Low risk"))</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1"/>
  <sheetViews>
    <sheetView topLeftCell="B1" zoomScale="60" zoomScaleNormal="60" workbookViewId="0">
      <pane ySplit="1" topLeftCell="A2" activePane="bottomLeft" state="frozen"/>
      <selection pane="bottomLeft" activeCell="J15" sqref="J15"/>
    </sheetView>
  </sheetViews>
  <sheetFormatPr defaultColWidth="8.7265625" defaultRowHeight="14.5" x14ac:dyDescent="0.35"/>
  <cols>
    <col min="1" max="20" width="20" customWidth="1"/>
  </cols>
  <sheetData>
    <row r="1" spans="1:20" ht="26.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5">
      <c r="A2" s="2" t="s">
        <v>20</v>
      </c>
      <c r="B2" s="2" t="s">
        <v>21</v>
      </c>
      <c r="C2" s="2">
        <v>39</v>
      </c>
      <c r="D2" s="2" t="s">
        <v>22</v>
      </c>
      <c r="E2" s="2" t="s">
        <v>23</v>
      </c>
      <c r="F2" s="2" t="s">
        <v>24</v>
      </c>
      <c r="G2" s="2">
        <v>35.4</v>
      </c>
      <c r="H2" s="2">
        <v>169</v>
      </c>
      <c r="I2" s="2">
        <v>65</v>
      </c>
      <c r="J2" s="2">
        <v>248</v>
      </c>
      <c r="K2" s="2">
        <v>78</v>
      </c>
      <c r="L2" s="2" t="s">
        <v>25</v>
      </c>
      <c r="M2" s="2">
        <v>1</v>
      </c>
      <c r="N2" s="2">
        <v>4</v>
      </c>
      <c r="O2" s="2" t="s">
        <v>26</v>
      </c>
      <c r="P2" s="2" t="s">
        <v>27</v>
      </c>
      <c r="Q2" s="2">
        <v>20</v>
      </c>
      <c r="R2" s="2">
        <v>17</v>
      </c>
      <c r="S2" s="2" t="s">
        <v>28</v>
      </c>
      <c r="T2" s="2" t="s">
        <v>29</v>
      </c>
    </row>
    <row r="3" spans="1:20" x14ac:dyDescent="0.35">
      <c r="A3" s="3" t="s">
        <v>30</v>
      </c>
      <c r="B3" s="3" t="s">
        <v>31</v>
      </c>
      <c r="C3" s="3">
        <v>39</v>
      </c>
      <c r="D3" s="3" t="s">
        <v>32</v>
      </c>
      <c r="E3" s="3" t="s">
        <v>33</v>
      </c>
      <c r="F3" s="3" t="s">
        <v>34</v>
      </c>
      <c r="G3" s="3">
        <v>25.5</v>
      </c>
      <c r="H3" s="3">
        <v>119</v>
      </c>
      <c r="I3" s="3">
        <v>73</v>
      </c>
      <c r="J3" s="3">
        <v>226</v>
      </c>
      <c r="K3" s="3">
        <v>96</v>
      </c>
      <c r="L3" s="3" t="s">
        <v>35</v>
      </c>
      <c r="M3" s="3">
        <v>6</v>
      </c>
      <c r="N3" s="3">
        <v>2</v>
      </c>
      <c r="O3" s="3" t="s">
        <v>36</v>
      </c>
      <c r="P3" s="3" t="s">
        <v>37</v>
      </c>
      <c r="Q3" s="3">
        <v>1</v>
      </c>
      <c r="R3" s="3">
        <v>14</v>
      </c>
      <c r="S3" s="3" t="s">
        <v>38</v>
      </c>
      <c r="T3" s="3" t="s">
        <v>35</v>
      </c>
    </row>
    <row r="4" spans="1:20" x14ac:dyDescent="0.35">
      <c r="A4" s="2" t="s">
        <v>39</v>
      </c>
      <c r="B4" s="2" t="s">
        <v>40</v>
      </c>
      <c r="C4" s="2">
        <v>57</v>
      </c>
      <c r="D4" s="2" t="s">
        <v>41</v>
      </c>
      <c r="E4" s="2" t="s">
        <v>42</v>
      </c>
      <c r="F4" s="2" t="s">
        <v>43</v>
      </c>
      <c r="G4" s="2">
        <v>31.4</v>
      </c>
      <c r="H4" s="2">
        <v>108</v>
      </c>
      <c r="I4" s="2">
        <v>62</v>
      </c>
      <c r="J4" s="2">
        <v>198</v>
      </c>
      <c r="K4" s="2">
        <v>144</v>
      </c>
      <c r="L4" s="2" t="s">
        <v>35</v>
      </c>
      <c r="M4" s="2">
        <v>3</v>
      </c>
      <c r="N4" s="2">
        <v>2</v>
      </c>
      <c r="O4" s="2" t="s">
        <v>44</v>
      </c>
      <c r="P4" s="2" t="s">
        <v>45</v>
      </c>
      <c r="Q4" s="2">
        <v>11</v>
      </c>
      <c r="R4" s="2">
        <v>5</v>
      </c>
      <c r="S4" s="2" t="s">
        <v>46</v>
      </c>
      <c r="T4" s="2" t="s">
        <v>47</v>
      </c>
    </row>
    <row r="5" spans="1:20" x14ac:dyDescent="0.35">
      <c r="A5" s="3" t="s">
        <v>48</v>
      </c>
      <c r="B5" s="3" t="s">
        <v>49</v>
      </c>
      <c r="C5" s="3">
        <v>26</v>
      </c>
      <c r="D5" s="3" t="s">
        <v>50</v>
      </c>
      <c r="E5" s="3" t="s">
        <v>51</v>
      </c>
      <c r="F5" s="3" t="s">
        <v>52</v>
      </c>
      <c r="G5" s="3">
        <v>21.1</v>
      </c>
      <c r="H5" s="3">
        <v>148</v>
      </c>
      <c r="I5" s="3">
        <v>77</v>
      </c>
      <c r="J5" s="3">
        <v>196</v>
      </c>
      <c r="K5" s="3">
        <v>245</v>
      </c>
      <c r="L5" s="3" t="s">
        <v>26</v>
      </c>
      <c r="M5" s="3">
        <v>0</v>
      </c>
      <c r="N5" s="3">
        <v>4</v>
      </c>
      <c r="O5" s="3" t="s">
        <v>25</v>
      </c>
      <c r="P5" s="3" t="s">
        <v>53</v>
      </c>
      <c r="Q5" s="3">
        <v>2</v>
      </c>
      <c r="R5" s="3">
        <v>6</v>
      </c>
      <c r="S5" s="3" t="s">
        <v>54</v>
      </c>
      <c r="T5" s="3" t="s">
        <v>47</v>
      </c>
    </row>
    <row r="6" spans="1:20" x14ac:dyDescent="0.35">
      <c r="A6" s="2" t="s">
        <v>55</v>
      </c>
      <c r="B6" s="2" t="s">
        <v>56</v>
      </c>
      <c r="C6" s="2">
        <v>47</v>
      </c>
      <c r="D6" s="2" t="s">
        <v>54</v>
      </c>
      <c r="E6" s="2" t="s">
        <v>33</v>
      </c>
      <c r="F6" s="2" t="s">
        <v>57</v>
      </c>
      <c r="G6" s="2">
        <v>20.5</v>
      </c>
      <c r="H6" s="2">
        <v>168</v>
      </c>
      <c r="I6" s="2">
        <v>76</v>
      </c>
      <c r="J6" s="2">
        <v>249</v>
      </c>
      <c r="K6" s="2">
        <v>219</v>
      </c>
      <c r="L6" s="2" t="s">
        <v>58</v>
      </c>
      <c r="M6" s="2">
        <v>5</v>
      </c>
      <c r="N6" s="2">
        <v>4</v>
      </c>
      <c r="O6" s="2" t="s">
        <v>29</v>
      </c>
      <c r="P6" s="2" t="s">
        <v>59</v>
      </c>
      <c r="Q6" s="2">
        <v>1</v>
      </c>
      <c r="R6" s="2">
        <v>3</v>
      </c>
      <c r="S6" s="2" t="s">
        <v>60</v>
      </c>
      <c r="T6" s="2" t="s">
        <v>61</v>
      </c>
    </row>
    <row r="7" spans="1:20" x14ac:dyDescent="0.35">
      <c r="A7" s="3" t="s">
        <v>62</v>
      </c>
      <c r="B7" s="3" t="s">
        <v>63</v>
      </c>
      <c r="C7" s="3">
        <v>26</v>
      </c>
      <c r="D7" s="3" t="s">
        <v>64</v>
      </c>
      <c r="E7" s="3" t="s">
        <v>65</v>
      </c>
      <c r="F7" s="3" t="s">
        <v>66</v>
      </c>
      <c r="G7" s="3">
        <v>41.9</v>
      </c>
      <c r="H7" s="3">
        <v>167</v>
      </c>
      <c r="I7" s="3">
        <v>76</v>
      </c>
      <c r="J7" s="3">
        <v>142</v>
      </c>
      <c r="K7" s="3">
        <v>244</v>
      </c>
      <c r="L7" s="3" t="s">
        <v>35</v>
      </c>
      <c r="M7" s="3" t="s">
        <v>67</v>
      </c>
      <c r="N7" s="3">
        <v>9</v>
      </c>
      <c r="O7" s="3" t="s">
        <v>68</v>
      </c>
      <c r="P7" s="3" t="s">
        <v>69</v>
      </c>
      <c r="Q7" s="3">
        <v>13</v>
      </c>
      <c r="R7" s="3">
        <v>5</v>
      </c>
      <c r="S7" s="3" t="s">
        <v>70</v>
      </c>
      <c r="T7" s="3" t="s">
        <v>25</v>
      </c>
    </row>
    <row r="8" spans="1:20" x14ac:dyDescent="0.35">
      <c r="A8" s="2" t="s">
        <v>71</v>
      </c>
      <c r="B8" s="2" t="s">
        <v>72</v>
      </c>
      <c r="C8" s="2">
        <v>33</v>
      </c>
      <c r="D8" s="2" t="s">
        <v>73</v>
      </c>
      <c r="E8" s="2" t="s">
        <v>74</v>
      </c>
      <c r="F8" s="2" t="s">
        <v>75</v>
      </c>
      <c r="G8" s="2">
        <v>32.200000000000003</v>
      </c>
      <c r="H8" s="2">
        <v>119</v>
      </c>
      <c r="I8" s="2">
        <v>83</v>
      </c>
      <c r="J8" s="2">
        <v>181</v>
      </c>
      <c r="K8" s="2">
        <v>208</v>
      </c>
      <c r="L8" s="2" t="s">
        <v>76</v>
      </c>
      <c r="M8" s="2">
        <v>0</v>
      </c>
      <c r="N8" s="2">
        <v>10</v>
      </c>
      <c r="O8" s="2" t="s">
        <v>36</v>
      </c>
      <c r="P8" s="2" t="s">
        <v>77</v>
      </c>
      <c r="Q8" s="2">
        <v>11</v>
      </c>
      <c r="R8" s="2">
        <v>9</v>
      </c>
      <c r="S8" s="2" t="s">
        <v>78</v>
      </c>
      <c r="T8" s="2" t="s">
        <v>25</v>
      </c>
    </row>
    <row r="9" spans="1:20" x14ac:dyDescent="0.35">
      <c r="A9" s="3" t="s">
        <v>79</v>
      </c>
      <c r="B9" s="3" t="s">
        <v>80</v>
      </c>
      <c r="C9" s="3">
        <v>27</v>
      </c>
      <c r="D9" s="3" t="s">
        <v>73</v>
      </c>
      <c r="E9" s="3" t="s">
        <v>81</v>
      </c>
      <c r="F9" s="3" t="s">
        <v>82</v>
      </c>
      <c r="G9" s="3">
        <v>41.4</v>
      </c>
      <c r="H9" s="3">
        <v>168</v>
      </c>
      <c r="I9" s="3">
        <v>68</v>
      </c>
      <c r="J9" s="3">
        <v>172</v>
      </c>
      <c r="K9" s="3">
        <v>238</v>
      </c>
      <c r="L9" s="3" t="s">
        <v>44</v>
      </c>
      <c r="M9" s="3"/>
      <c r="N9" s="3">
        <v>3</v>
      </c>
      <c r="O9" s="3" t="s">
        <v>68</v>
      </c>
      <c r="P9" s="3" t="s">
        <v>83</v>
      </c>
      <c r="Q9" s="3">
        <v>6</v>
      </c>
      <c r="R9" s="3">
        <v>9</v>
      </c>
      <c r="S9" s="3" t="s">
        <v>28</v>
      </c>
      <c r="T9" s="3" t="s">
        <v>47</v>
      </c>
    </row>
    <row r="10" spans="1:20" x14ac:dyDescent="0.35">
      <c r="A10" s="2" t="s">
        <v>84</v>
      </c>
      <c r="B10" s="2" t="s">
        <v>85</v>
      </c>
      <c r="C10" s="2">
        <v>50</v>
      </c>
      <c r="D10" s="2" t="s">
        <v>73</v>
      </c>
      <c r="E10" s="2" t="s">
        <v>23</v>
      </c>
      <c r="F10" s="2" t="s">
        <v>52</v>
      </c>
      <c r="G10" s="2">
        <v>18.600000000000001</v>
      </c>
      <c r="H10" s="2">
        <v>102</v>
      </c>
      <c r="I10" s="2">
        <v>97</v>
      </c>
      <c r="J10" s="2">
        <v>198</v>
      </c>
      <c r="K10" s="2">
        <v>220</v>
      </c>
      <c r="L10" s="2" t="s">
        <v>86</v>
      </c>
      <c r="M10" s="2">
        <v>0</v>
      </c>
      <c r="N10" s="2">
        <v>2</v>
      </c>
      <c r="O10" s="2" t="s">
        <v>25</v>
      </c>
      <c r="P10" s="2" t="s">
        <v>87</v>
      </c>
      <c r="Q10" s="2">
        <v>10</v>
      </c>
      <c r="R10" s="2">
        <v>2</v>
      </c>
      <c r="S10" s="2" t="s">
        <v>38</v>
      </c>
      <c r="T10" s="2" t="s">
        <v>29</v>
      </c>
    </row>
    <row r="11" spans="1:20" x14ac:dyDescent="0.35">
      <c r="A11" s="3" t="s">
        <v>88</v>
      </c>
      <c r="B11" s="3" t="s">
        <v>89</v>
      </c>
      <c r="C11" s="3">
        <v>120</v>
      </c>
      <c r="D11" s="3" t="s">
        <v>54</v>
      </c>
      <c r="E11" s="3" t="s">
        <v>23</v>
      </c>
      <c r="F11" s="3" t="s">
        <v>90</v>
      </c>
      <c r="G11" s="3">
        <v>37.200000000000003</v>
      </c>
      <c r="H11" s="3">
        <v>124</v>
      </c>
      <c r="I11" s="3">
        <v>66</v>
      </c>
      <c r="J11" s="3">
        <v>164</v>
      </c>
      <c r="K11" s="3">
        <v>238</v>
      </c>
      <c r="L11" s="3" t="s">
        <v>58</v>
      </c>
      <c r="M11" s="3">
        <v>5</v>
      </c>
      <c r="N11" s="3">
        <v>7</v>
      </c>
      <c r="O11" s="3" t="s">
        <v>44</v>
      </c>
      <c r="P11" s="3" t="s">
        <v>91</v>
      </c>
      <c r="Q11" s="3">
        <v>20</v>
      </c>
      <c r="R11" s="3">
        <v>20</v>
      </c>
      <c r="S11" s="3" t="s">
        <v>92</v>
      </c>
      <c r="T11" s="3" t="s">
        <v>25</v>
      </c>
    </row>
    <row r="12" spans="1:20" x14ac:dyDescent="0.35">
      <c r="A12" s="2" t="s">
        <v>93</v>
      </c>
      <c r="B12" s="2" t="s">
        <v>94</v>
      </c>
      <c r="C12" s="2">
        <v>28</v>
      </c>
      <c r="D12" s="2" t="s">
        <v>22</v>
      </c>
      <c r="E12" s="2" t="s">
        <v>23</v>
      </c>
      <c r="F12" s="2" t="s">
        <v>52</v>
      </c>
      <c r="G12" s="2">
        <v>30.4</v>
      </c>
      <c r="H12" s="2">
        <v>117</v>
      </c>
      <c r="I12" s="2">
        <v>87</v>
      </c>
      <c r="J12" s="2">
        <v>186</v>
      </c>
      <c r="K12" s="2">
        <v>141</v>
      </c>
      <c r="L12" s="2" t="s">
        <v>44</v>
      </c>
      <c r="M12" s="2">
        <v>3</v>
      </c>
      <c r="N12" s="2">
        <v>2</v>
      </c>
      <c r="O12" s="2" t="s">
        <v>76</v>
      </c>
      <c r="P12" s="2" t="s">
        <v>95</v>
      </c>
      <c r="Q12" s="2">
        <v>17</v>
      </c>
      <c r="R12" s="2">
        <v>0</v>
      </c>
      <c r="S12" s="2" t="s">
        <v>92</v>
      </c>
      <c r="T12" s="2" t="s">
        <v>29</v>
      </c>
    </row>
    <row r="13" spans="1:20" x14ac:dyDescent="0.35">
      <c r="A13" s="3" t="s">
        <v>96</v>
      </c>
      <c r="B13" s="3" t="s">
        <v>97</v>
      </c>
      <c r="C13" s="3">
        <v>53</v>
      </c>
      <c r="D13" s="3" t="s">
        <v>54</v>
      </c>
      <c r="E13" s="3" t="s">
        <v>23</v>
      </c>
      <c r="F13" s="3" t="s">
        <v>34</v>
      </c>
      <c r="G13" s="3">
        <v>39.6</v>
      </c>
      <c r="H13" s="3">
        <v>121</v>
      </c>
      <c r="I13" s="3">
        <v>84</v>
      </c>
      <c r="J13" s="3">
        <v>140</v>
      </c>
      <c r="K13" s="3">
        <v>169</v>
      </c>
      <c r="L13" s="3" t="s">
        <v>29</v>
      </c>
      <c r="M13" s="3">
        <v>7</v>
      </c>
      <c r="N13" s="3">
        <v>5</v>
      </c>
      <c r="O13" s="3" t="s">
        <v>44</v>
      </c>
      <c r="P13" s="3" t="s">
        <v>98</v>
      </c>
      <c r="Q13" s="3">
        <v>9</v>
      </c>
      <c r="R13" s="3">
        <v>6</v>
      </c>
      <c r="S13" s="3" t="s">
        <v>99</v>
      </c>
      <c r="T13" s="3" t="s">
        <v>100</v>
      </c>
    </row>
    <row r="14" spans="1:20" x14ac:dyDescent="0.35">
      <c r="A14" s="2" t="s">
        <v>101</v>
      </c>
      <c r="B14" s="2" t="s">
        <v>102</v>
      </c>
      <c r="C14" s="2">
        <v>25</v>
      </c>
      <c r="D14" s="2" t="s">
        <v>32</v>
      </c>
      <c r="E14" s="2" t="s">
        <v>42</v>
      </c>
      <c r="F14" s="2" t="s">
        <v>90</v>
      </c>
      <c r="G14" s="2">
        <v>29.6</v>
      </c>
      <c r="H14" s="2">
        <v>167</v>
      </c>
      <c r="I14" s="2">
        <v>70</v>
      </c>
      <c r="J14" s="2">
        <v>154</v>
      </c>
      <c r="K14" s="2">
        <v>200</v>
      </c>
      <c r="L14" s="2" t="s">
        <v>35</v>
      </c>
      <c r="M14" s="2">
        <v>2</v>
      </c>
      <c r="N14" s="2">
        <v>2</v>
      </c>
      <c r="O14" s="2" t="s">
        <v>35</v>
      </c>
      <c r="P14" s="2" t="s">
        <v>103</v>
      </c>
      <c r="Q14" s="2">
        <v>18</v>
      </c>
      <c r="R14" s="2">
        <v>7</v>
      </c>
      <c r="S14" s="2" t="s">
        <v>54</v>
      </c>
      <c r="T14" s="2" t="s">
        <v>25</v>
      </c>
    </row>
    <row r="15" spans="1:20" x14ac:dyDescent="0.35">
      <c r="A15" s="3" t="s">
        <v>104</v>
      </c>
      <c r="B15" s="3" t="s">
        <v>105</v>
      </c>
      <c r="C15" s="3">
        <v>48</v>
      </c>
      <c r="D15" s="3" t="s">
        <v>106</v>
      </c>
      <c r="E15" s="3" t="s">
        <v>74</v>
      </c>
      <c r="F15" s="3" t="s">
        <v>52</v>
      </c>
      <c r="G15" s="3">
        <v>33.700000000000003</v>
      </c>
      <c r="H15" s="3">
        <v>140</v>
      </c>
      <c r="I15" s="3">
        <v>75</v>
      </c>
      <c r="J15" s="3">
        <v>207</v>
      </c>
      <c r="K15" s="3">
        <v>171</v>
      </c>
      <c r="L15" s="3" t="s">
        <v>107</v>
      </c>
      <c r="M15" s="3" t="s">
        <v>67</v>
      </c>
      <c r="N15" s="3">
        <v>5</v>
      </c>
      <c r="O15" s="3" t="s">
        <v>76</v>
      </c>
      <c r="P15" s="3" t="s">
        <v>108</v>
      </c>
      <c r="Q15" s="3">
        <v>14</v>
      </c>
      <c r="R15" s="3">
        <v>19</v>
      </c>
      <c r="S15" s="3" t="s">
        <v>54</v>
      </c>
      <c r="T15" s="3" t="s">
        <v>35</v>
      </c>
    </row>
    <row r="16" spans="1:20" x14ac:dyDescent="0.35">
      <c r="A16" s="2" t="s">
        <v>109</v>
      </c>
      <c r="B16" s="2" t="s">
        <v>110</v>
      </c>
      <c r="C16" s="2">
        <v>35</v>
      </c>
      <c r="D16" s="2" t="s">
        <v>41</v>
      </c>
      <c r="E16" s="2" t="s">
        <v>33</v>
      </c>
      <c r="F16" s="2" t="s">
        <v>43</v>
      </c>
      <c r="G16" s="2">
        <v>39</v>
      </c>
      <c r="H16" s="2">
        <v>131</v>
      </c>
      <c r="I16" s="2">
        <v>83</v>
      </c>
      <c r="J16" s="2">
        <v>212</v>
      </c>
      <c r="K16" s="2">
        <v>110</v>
      </c>
      <c r="L16" s="2" t="s">
        <v>44</v>
      </c>
      <c r="M16" s="2"/>
      <c r="N16" s="2">
        <v>5</v>
      </c>
      <c r="O16" s="2" t="s">
        <v>25</v>
      </c>
      <c r="P16" s="2" t="s">
        <v>111</v>
      </c>
      <c r="Q16" s="2">
        <v>4</v>
      </c>
      <c r="R16" s="2">
        <v>8</v>
      </c>
      <c r="S16" s="2" t="s">
        <v>92</v>
      </c>
      <c r="T16" s="2" t="s">
        <v>35</v>
      </c>
    </row>
    <row r="17" spans="1:20" x14ac:dyDescent="0.35">
      <c r="A17" s="3" t="s">
        <v>112</v>
      </c>
      <c r="B17" s="3" t="s">
        <v>113</v>
      </c>
      <c r="C17" s="3">
        <v>39</v>
      </c>
      <c r="D17" s="3" t="s">
        <v>41</v>
      </c>
      <c r="E17" s="3" t="s">
        <v>42</v>
      </c>
      <c r="F17" s="3" t="s">
        <v>52</v>
      </c>
      <c r="G17" s="3">
        <v>34.9</v>
      </c>
      <c r="H17" s="3">
        <v>126</v>
      </c>
      <c r="I17" s="3">
        <v>103</v>
      </c>
      <c r="J17" s="3">
        <v>207</v>
      </c>
      <c r="K17" s="3">
        <v>199</v>
      </c>
      <c r="L17" s="3" t="s">
        <v>44</v>
      </c>
      <c r="M17" s="3">
        <v>4</v>
      </c>
      <c r="N17" s="3">
        <v>1</v>
      </c>
      <c r="O17" s="3" t="s">
        <v>35</v>
      </c>
      <c r="P17" s="3" t="s">
        <v>114</v>
      </c>
      <c r="Q17" s="3">
        <v>0</v>
      </c>
      <c r="R17" s="3">
        <v>10</v>
      </c>
      <c r="S17" s="3" t="s">
        <v>60</v>
      </c>
      <c r="T17" s="3" t="s">
        <v>26</v>
      </c>
    </row>
    <row r="18" spans="1:20" x14ac:dyDescent="0.35">
      <c r="A18" s="2" t="s">
        <v>115</v>
      </c>
      <c r="B18" s="2" t="s">
        <v>116</v>
      </c>
      <c r="C18" s="2">
        <v>57</v>
      </c>
      <c r="D18" s="2" t="s">
        <v>64</v>
      </c>
      <c r="E18" s="2" t="s">
        <v>51</v>
      </c>
      <c r="F18" s="2" t="s">
        <v>117</v>
      </c>
      <c r="G18" s="2">
        <v>19.8</v>
      </c>
      <c r="H18" s="2">
        <v>119</v>
      </c>
      <c r="I18" s="2">
        <v>94</v>
      </c>
      <c r="J18" s="2">
        <v>149</v>
      </c>
      <c r="K18" s="2">
        <v>164</v>
      </c>
      <c r="L18" s="2"/>
      <c r="M18" s="2"/>
      <c r="N18" s="2">
        <v>3</v>
      </c>
      <c r="O18" s="2" t="s">
        <v>44</v>
      </c>
      <c r="P18" s="2" t="s">
        <v>118</v>
      </c>
      <c r="Q18" s="2">
        <v>11</v>
      </c>
      <c r="R18" s="2">
        <v>1</v>
      </c>
      <c r="S18" s="2" t="s">
        <v>46</v>
      </c>
      <c r="T18" s="2" t="s">
        <v>29</v>
      </c>
    </row>
    <row r="19" spans="1:20" x14ac:dyDescent="0.35">
      <c r="A19" s="3" t="s">
        <v>119</v>
      </c>
      <c r="B19" s="3" t="s">
        <v>120</v>
      </c>
      <c r="C19" s="3">
        <v>44</v>
      </c>
      <c r="D19" s="3" t="s">
        <v>64</v>
      </c>
      <c r="E19" s="3" t="s">
        <v>42</v>
      </c>
      <c r="F19" s="3" t="s">
        <v>24</v>
      </c>
      <c r="G19" s="3">
        <v>40.1</v>
      </c>
      <c r="H19" s="3">
        <v>130</v>
      </c>
      <c r="I19" s="3">
        <v>70</v>
      </c>
      <c r="J19" s="3">
        <v>185</v>
      </c>
      <c r="K19" s="3">
        <v>175</v>
      </c>
      <c r="L19" s="3" t="s">
        <v>25</v>
      </c>
      <c r="M19" s="3">
        <v>2</v>
      </c>
      <c r="N19" s="3">
        <v>6</v>
      </c>
      <c r="O19" s="3" t="s">
        <v>44</v>
      </c>
      <c r="P19" s="3" t="s">
        <v>121</v>
      </c>
      <c r="Q19" s="3">
        <v>3</v>
      </c>
      <c r="R19" s="3">
        <v>12</v>
      </c>
      <c r="S19" s="3" t="s">
        <v>99</v>
      </c>
      <c r="T19" s="3" t="s">
        <v>54</v>
      </c>
    </row>
    <row r="20" spans="1:20" x14ac:dyDescent="0.35">
      <c r="A20" s="2" t="s">
        <v>122</v>
      </c>
      <c r="B20" s="2" t="s">
        <v>123</v>
      </c>
      <c r="C20" s="2">
        <v>51</v>
      </c>
      <c r="D20" s="2" t="s">
        <v>106</v>
      </c>
      <c r="E20" s="2" t="s">
        <v>74</v>
      </c>
      <c r="F20" s="2" t="s">
        <v>52</v>
      </c>
      <c r="G20" s="2">
        <v>22.6</v>
      </c>
      <c r="H20" s="2">
        <v>124</v>
      </c>
      <c r="I20" s="2">
        <v>85</v>
      </c>
      <c r="J20" s="2">
        <v>224</v>
      </c>
      <c r="K20" s="2">
        <v>141</v>
      </c>
      <c r="L20" s="2" t="s">
        <v>35</v>
      </c>
      <c r="M20" s="2">
        <v>4</v>
      </c>
      <c r="N20" s="2">
        <v>6</v>
      </c>
      <c r="O20" s="2" t="s">
        <v>44</v>
      </c>
      <c r="P20" s="2" t="s">
        <v>124</v>
      </c>
      <c r="Q20" s="2">
        <v>8</v>
      </c>
      <c r="R20" s="2">
        <v>5</v>
      </c>
      <c r="S20" s="2" t="s">
        <v>54</v>
      </c>
      <c r="T20" s="2" t="s">
        <v>26</v>
      </c>
    </row>
    <row r="21" spans="1:20" x14ac:dyDescent="0.35">
      <c r="A21" s="3" t="s">
        <v>125</v>
      </c>
      <c r="B21" s="3" t="s">
        <v>126</v>
      </c>
      <c r="C21" s="3">
        <v>60</v>
      </c>
      <c r="D21" s="3" t="s">
        <v>64</v>
      </c>
      <c r="E21" s="3" t="s">
        <v>127</v>
      </c>
      <c r="F21" s="3" t="s">
        <v>43</v>
      </c>
      <c r="G21" s="3">
        <v>27.9</v>
      </c>
      <c r="H21" s="3">
        <v>165</v>
      </c>
      <c r="I21" s="3">
        <v>67</v>
      </c>
      <c r="J21" s="3">
        <v>238</v>
      </c>
      <c r="K21" s="3">
        <v>217</v>
      </c>
      <c r="L21" s="3" t="s">
        <v>86</v>
      </c>
      <c r="M21" s="3">
        <v>4</v>
      </c>
      <c r="N21" s="3">
        <v>1</v>
      </c>
      <c r="O21" s="3" t="s">
        <v>44</v>
      </c>
      <c r="P21" s="3" t="s">
        <v>128</v>
      </c>
      <c r="Q21" s="3">
        <v>17</v>
      </c>
      <c r="R21" s="3">
        <v>6</v>
      </c>
      <c r="S21" s="3" t="s">
        <v>46</v>
      </c>
      <c r="T21" s="3"/>
    </row>
    <row r="22" spans="1:20" x14ac:dyDescent="0.35">
      <c r="A22" s="2" t="s">
        <v>129</v>
      </c>
      <c r="B22" s="2" t="s">
        <v>130</v>
      </c>
      <c r="C22" s="2">
        <v>61</v>
      </c>
      <c r="D22" s="2" t="s">
        <v>106</v>
      </c>
      <c r="E22" s="2" t="s">
        <v>131</v>
      </c>
      <c r="F22" s="2" t="s">
        <v>57</v>
      </c>
      <c r="G22" s="2">
        <v>29.7</v>
      </c>
      <c r="H22" s="2">
        <v>152</v>
      </c>
      <c r="I22" s="2">
        <v>80</v>
      </c>
      <c r="J22" s="2">
        <v>243</v>
      </c>
      <c r="K22" s="2">
        <v>248</v>
      </c>
      <c r="L22" s="2" t="s">
        <v>29</v>
      </c>
      <c r="M22" s="2"/>
      <c r="N22" s="2">
        <v>3</v>
      </c>
      <c r="O22" s="2" t="s">
        <v>26</v>
      </c>
      <c r="P22" s="2" t="s">
        <v>132</v>
      </c>
      <c r="Q22" s="2">
        <v>5</v>
      </c>
      <c r="R22" s="2">
        <v>19</v>
      </c>
      <c r="S22" s="2" t="s">
        <v>54</v>
      </c>
      <c r="T22" s="2" t="s">
        <v>26</v>
      </c>
    </row>
    <row r="23" spans="1:20" x14ac:dyDescent="0.35">
      <c r="A23" s="3" t="s">
        <v>133</v>
      </c>
      <c r="B23" s="3" t="s">
        <v>134</v>
      </c>
      <c r="C23" s="3">
        <v>22</v>
      </c>
      <c r="D23" s="3" t="s">
        <v>41</v>
      </c>
      <c r="E23" s="3" t="s">
        <v>74</v>
      </c>
      <c r="F23" s="3" t="s">
        <v>52</v>
      </c>
      <c r="G23" s="3">
        <v>27.7</v>
      </c>
      <c r="H23" s="3">
        <v>141</v>
      </c>
      <c r="I23" s="3">
        <v>89</v>
      </c>
      <c r="J23" s="3">
        <v>253</v>
      </c>
      <c r="K23" s="3">
        <v>183</v>
      </c>
      <c r="L23" s="3" t="s">
        <v>86</v>
      </c>
      <c r="M23" s="3"/>
      <c r="N23" s="3">
        <v>8</v>
      </c>
      <c r="O23" s="3" t="s">
        <v>29</v>
      </c>
      <c r="P23" s="3" t="s">
        <v>135</v>
      </c>
      <c r="Q23" s="3">
        <v>20</v>
      </c>
      <c r="R23" s="3">
        <v>19</v>
      </c>
      <c r="S23" s="3" t="s">
        <v>46</v>
      </c>
      <c r="T23" s="3" t="s">
        <v>35</v>
      </c>
    </row>
    <row r="24" spans="1:20" x14ac:dyDescent="0.35">
      <c r="A24" s="2" t="s">
        <v>136</v>
      </c>
      <c r="B24" s="2" t="s">
        <v>137</v>
      </c>
      <c r="C24" s="2">
        <v>36</v>
      </c>
      <c r="D24" s="2" t="s">
        <v>22</v>
      </c>
      <c r="E24" s="2" t="s">
        <v>33</v>
      </c>
      <c r="F24" s="2" t="s">
        <v>117</v>
      </c>
      <c r="G24" s="2">
        <v>18.2</v>
      </c>
      <c r="H24" s="2">
        <v>160</v>
      </c>
      <c r="I24" s="2">
        <v>99</v>
      </c>
      <c r="J24" s="2">
        <v>158</v>
      </c>
      <c r="K24" s="2">
        <v>186</v>
      </c>
      <c r="L24" s="2" t="s">
        <v>58</v>
      </c>
      <c r="M24" s="2" t="s">
        <v>67</v>
      </c>
      <c r="N24" s="2">
        <v>10</v>
      </c>
      <c r="O24" s="2" t="s">
        <v>26</v>
      </c>
      <c r="P24" s="2" t="s">
        <v>138</v>
      </c>
      <c r="Q24" s="2">
        <v>7</v>
      </c>
      <c r="R24" s="2">
        <v>4</v>
      </c>
      <c r="S24" s="2"/>
      <c r="T24" s="2" t="s">
        <v>25</v>
      </c>
    </row>
    <row r="25" spans="1:20" x14ac:dyDescent="0.35">
      <c r="A25" s="3" t="s">
        <v>139</v>
      </c>
      <c r="B25" s="3" t="s">
        <v>140</v>
      </c>
      <c r="C25" s="3">
        <v>36</v>
      </c>
      <c r="D25" s="3" t="s">
        <v>50</v>
      </c>
      <c r="E25" s="3" t="s">
        <v>51</v>
      </c>
      <c r="F25" s="3" t="s">
        <v>90</v>
      </c>
      <c r="G25" s="3">
        <v>18.3</v>
      </c>
      <c r="H25" s="3">
        <v>131</v>
      </c>
      <c r="I25" s="3">
        <v>67</v>
      </c>
      <c r="J25" s="3">
        <v>256</v>
      </c>
      <c r="K25" s="3">
        <v>104</v>
      </c>
      <c r="L25" s="3" t="s">
        <v>44</v>
      </c>
      <c r="M25" s="3" t="s">
        <v>67</v>
      </c>
      <c r="N25" s="3">
        <v>9</v>
      </c>
      <c r="O25" s="3" t="s">
        <v>36</v>
      </c>
      <c r="P25" s="3" t="s">
        <v>141</v>
      </c>
      <c r="Q25" s="3">
        <v>16</v>
      </c>
      <c r="R25" s="3">
        <v>13</v>
      </c>
      <c r="S25" s="3" t="s">
        <v>38</v>
      </c>
      <c r="T25" s="3" t="s">
        <v>54</v>
      </c>
    </row>
    <row r="26" spans="1:20" x14ac:dyDescent="0.35">
      <c r="A26" s="2" t="s">
        <v>139</v>
      </c>
      <c r="B26" s="2" t="s">
        <v>142</v>
      </c>
      <c r="C26" s="2">
        <v>50</v>
      </c>
      <c r="D26" s="2" t="s">
        <v>41</v>
      </c>
      <c r="E26" s="2" t="s">
        <v>23</v>
      </c>
      <c r="F26" s="2" t="s">
        <v>57</v>
      </c>
      <c r="G26" s="2">
        <v>36.1</v>
      </c>
      <c r="H26" s="2">
        <v>166</v>
      </c>
      <c r="I26" s="2">
        <v>91</v>
      </c>
      <c r="J26" s="2">
        <v>201</v>
      </c>
      <c r="K26" s="2">
        <v>140</v>
      </c>
      <c r="L26" s="2" t="s">
        <v>44</v>
      </c>
      <c r="M26" s="2">
        <v>1</v>
      </c>
      <c r="N26" s="2">
        <v>5</v>
      </c>
      <c r="O26" s="2" t="s">
        <v>26</v>
      </c>
      <c r="P26" s="2" t="s">
        <v>143</v>
      </c>
      <c r="Q26" s="2">
        <v>17</v>
      </c>
      <c r="R26" s="2">
        <v>2</v>
      </c>
      <c r="S26" s="2" t="s">
        <v>60</v>
      </c>
      <c r="T26" s="2" t="s">
        <v>61</v>
      </c>
    </row>
    <row r="27" spans="1:20" x14ac:dyDescent="0.35">
      <c r="A27" s="3" t="s">
        <v>144</v>
      </c>
      <c r="B27" s="3" t="s">
        <v>145</v>
      </c>
      <c r="C27" s="3">
        <v>31</v>
      </c>
      <c r="D27" s="3" t="s">
        <v>22</v>
      </c>
      <c r="E27" s="3" t="s">
        <v>131</v>
      </c>
      <c r="F27" s="3" t="s">
        <v>34</v>
      </c>
      <c r="G27" s="3">
        <v>27.2</v>
      </c>
      <c r="H27" s="3">
        <v>169</v>
      </c>
      <c r="I27" s="3">
        <v>89</v>
      </c>
      <c r="J27" s="3">
        <v>246</v>
      </c>
      <c r="K27" s="3">
        <v>85</v>
      </c>
      <c r="L27" s="3" t="s">
        <v>86</v>
      </c>
      <c r="M27" s="3">
        <v>6</v>
      </c>
      <c r="N27" s="3">
        <v>7</v>
      </c>
      <c r="O27" s="3" t="s">
        <v>25</v>
      </c>
      <c r="P27" s="3" t="s">
        <v>146</v>
      </c>
      <c r="Q27" s="3">
        <v>11</v>
      </c>
      <c r="R27" s="3">
        <v>9</v>
      </c>
      <c r="S27" s="3" t="s">
        <v>28</v>
      </c>
      <c r="T27" s="3"/>
    </row>
    <row r="28" spans="1:20" x14ac:dyDescent="0.35">
      <c r="A28" s="2" t="s">
        <v>147</v>
      </c>
      <c r="B28" s="2" t="s">
        <v>148</v>
      </c>
      <c r="C28" s="2">
        <v>60</v>
      </c>
      <c r="D28" s="2" t="s">
        <v>22</v>
      </c>
      <c r="E28" s="2" t="s">
        <v>81</v>
      </c>
      <c r="F28" s="2" t="s">
        <v>52</v>
      </c>
      <c r="G28" s="2">
        <v>23.8</v>
      </c>
      <c r="H28" s="2">
        <v>162</v>
      </c>
      <c r="I28" s="2">
        <v>61</v>
      </c>
      <c r="J28" s="2">
        <v>239</v>
      </c>
      <c r="K28" s="2">
        <v>156</v>
      </c>
      <c r="L28" s="2" t="s">
        <v>58</v>
      </c>
      <c r="M28" s="2">
        <v>2</v>
      </c>
      <c r="N28" s="2">
        <v>8</v>
      </c>
      <c r="O28" s="2" t="s">
        <v>29</v>
      </c>
      <c r="P28" s="2" t="s">
        <v>149</v>
      </c>
      <c r="Q28" s="2">
        <v>18</v>
      </c>
      <c r="R28" s="2">
        <v>0</v>
      </c>
      <c r="S28" s="2" t="s">
        <v>92</v>
      </c>
      <c r="T28" s="2"/>
    </row>
    <row r="29" spans="1:20" x14ac:dyDescent="0.35">
      <c r="A29" s="3" t="s">
        <v>150</v>
      </c>
      <c r="B29" s="3" t="s">
        <v>151</v>
      </c>
      <c r="C29" s="3">
        <v>33</v>
      </c>
      <c r="D29" s="3" t="s">
        <v>32</v>
      </c>
      <c r="E29" s="3" t="s">
        <v>74</v>
      </c>
      <c r="F29" s="3" t="s">
        <v>34</v>
      </c>
      <c r="G29" s="3">
        <v>25.2</v>
      </c>
      <c r="H29" s="3">
        <v>158</v>
      </c>
      <c r="I29" s="3">
        <v>80</v>
      </c>
      <c r="J29" s="3">
        <v>226</v>
      </c>
      <c r="K29" s="3">
        <v>167</v>
      </c>
      <c r="L29" s="3" t="s">
        <v>29</v>
      </c>
      <c r="M29" s="3">
        <v>6</v>
      </c>
      <c r="N29" s="3">
        <v>5</v>
      </c>
      <c r="O29" s="3" t="s">
        <v>35</v>
      </c>
      <c r="P29" s="3" t="s">
        <v>152</v>
      </c>
      <c r="Q29" s="3">
        <v>17</v>
      </c>
      <c r="R29" s="3">
        <v>1</v>
      </c>
      <c r="S29" s="3" t="s">
        <v>46</v>
      </c>
      <c r="T29" s="3" t="s">
        <v>29</v>
      </c>
    </row>
    <row r="30" spans="1:20" x14ac:dyDescent="0.35">
      <c r="A30" s="2" t="s">
        <v>153</v>
      </c>
      <c r="B30" s="2" t="s">
        <v>154</v>
      </c>
      <c r="C30" s="2">
        <v>23</v>
      </c>
      <c r="D30" s="2" t="s">
        <v>22</v>
      </c>
      <c r="E30" s="2" t="s">
        <v>23</v>
      </c>
      <c r="F30" s="2" t="s">
        <v>117</v>
      </c>
      <c r="G30" s="2">
        <v>32.5</v>
      </c>
      <c r="H30" s="2">
        <v>130</v>
      </c>
      <c r="I30" s="2">
        <v>68</v>
      </c>
      <c r="J30" s="2">
        <v>261</v>
      </c>
      <c r="K30" s="2">
        <v>241</v>
      </c>
      <c r="L30" s="2" t="s">
        <v>35</v>
      </c>
      <c r="M30" s="2" t="s">
        <v>54</v>
      </c>
      <c r="N30" s="2">
        <v>4</v>
      </c>
      <c r="O30" s="2" t="s">
        <v>76</v>
      </c>
      <c r="P30" s="2" t="s">
        <v>155</v>
      </c>
      <c r="Q30" s="2">
        <v>19</v>
      </c>
      <c r="R30" s="2">
        <v>19</v>
      </c>
      <c r="S30" s="2" t="s">
        <v>92</v>
      </c>
      <c r="T30" s="2" t="s">
        <v>61</v>
      </c>
    </row>
    <row r="31" spans="1:20" x14ac:dyDescent="0.35">
      <c r="A31" s="3" t="s">
        <v>156</v>
      </c>
      <c r="B31" s="3" t="s">
        <v>157</v>
      </c>
      <c r="C31" s="3">
        <v>59</v>
      </c>
      <c r="D31" s="3" t="s">
        <v>32</v>
      </c>
      <c r="E31" s="3" t="s">
        <v>74</v>
      </c>
      <c r="F31" s="3" t="s">
        <v>66</v>
      </c>
      <c r="G31" s="3">
        <v>0</v>
      </c>
      <c r="H31" s="3">
        <v>150</v>
      </c>
      <c r="I31" s="3">
        <v>105</v>
      </c>
      <c r="J31" s="3">
        <v>190</v>
      </c>
      <c r="K31" s="3">
        <v>89</v>
      </c>
      <c r="L31" s="3"/>
      <c r="M31" s="3" t="s">
        <v>67</v>
      </c>
      <c r="N31" s="3">
        <v>4</v>
      </c>
      <c r="O31" s="3" t="s">
        <v>35</v>
      </c>
      <c r="P31" s="3" t="s">
        <v>158</v>
      </c>
      <c r="Q31" s="3">
        <v>18</v>
      </c>
      <c r="R31" s="3">
        <v>1</v>
      </c>
      <c r="S31" s="3" t="s">
        <v>46</v>
      </c>
      <c r="T31" s="3" t="s">
        <v>100</v>
      </c>
    </row>
    <row r="32" spans="1:20" x14ac:dyDescent="0.35">
      <c r="A32" s="2" t="s">
        <v>159</v>
      </c>
      <c r="B32" s="2" t="s">
        <v>160</v>
      </c>
      <c r="C32" s="2">
        <v>26</v>
      </c>
      <c r="D32" s="2" t="s">
        <v>106</v>
      </c>
      <c r="E32" s="2" t="s">
        <v>161</v>
      </c>
      <c r="F32" s="2" t="s">
        <v>34</v>
      </c>
      <c r="G32" s="2">
        <v>37.6</v>
      </c>
      <c r="H32" s="2">
        <v>113</v>
      </c>
      <c r="I32" s="2">
        <v>87</v>
      </c>
      <c r="J32" s="2">
        <v>232</v>
      </c>
      <c r="K32" s="2">
        <v>232</v>
      </c>
      <c r="L32" s="2" t="s">
        <v>44</v>
      </c>
      <c r="M32" s="2">
        <v>2</v>
      </c>
      <c r="N32" s="2">
        <v>7</v>
      </c>
      <c r="O32" s="2" t="s">
        <v>29</v>
      </c>
      <c r="P32" s="2" t="s">
        <v>162</v>
      </c>
      <c r="Q32" s="2">
        <v>17</v>
      </c>
      <c r="R32" s="2">
        <v>15</v>
      </c>
      <c r="S32" s="2" t="s">
        <v>70</v>
      </c>
      <c r="T32" s="2"/>
    </row>
    <row r="33" spans="1:20" x14ac:dyDescent="0.35">
      <c r="A33" s="3" t="s">
        <v>163</v>
      </c>
      <c r="B33" s="3" t="s">
        <v>164</v>
      </c>
      <c r="C33" s="3">
        <v>42</v>
      </c>
      <c r="D33" s="3" t="s">
        <v>22</v>
      </c>
      <c r="E33" s="3" t="s">
        <v>131</v>
      </c>
      <c r="F33" s="3" t="s">
        <v>57</v>
      </c>
      <c r="G33" s="3">
        <v>39</v>
      </c>
      <c r="H33" s="3">
        <v>131</v>
      </c>
      <c r="I33" s="3">
        <v>89</v>
      </c>
      <c r="J33" s="3">
        <v>237</v>
      </c>
      <c r="K33" s="3">
        <v>156</v>
      </c>
      <c r="L33" s="3" t="s">
        <v>25</v>
      </c>
      <c r="M33" s="3">
        <v>7</v>
      </c>
      <c r="N33" s="3">
        <v>6</v>
      </c>
      <c r="O33" s="3" t="s">
        <v>29</v>
      </c>
      <c r="P33" s="3" t="s">
        <v>165</v>
      </c>
      <c r="Q33" s="3">
        <v>8</v>
      </c>
      <c r="R33" s="3">
        <v>10</v>
      </c>
      <c r="S33" s="3" t="s">
        <v>166</v>
      </c>
      <c r="T33" s="3" t="s">
        <v>26</v>
      </c>
    </row>
    <row r="34" spans="1:20" x14ac:dyDescent="0.35">
      <c r="A34" s="2" t="s">
        <v>167</v>
      </c>
      <c r="B34" s="2" t="s">
        <v>168</v>
      </c>
      <c r="C34" s="2">
        <v>55</v>
      </c>
      <c r="D34" s="2" t="s">
        <v>22</v>
      </c>
      <c r="E34" s="2" t="s">
        <v>131</v>
      </c>
      <c r="F34" s="2" t="s">
        <v>52</v>
      </c>
      <c r="G34" s="2">
        <v>35</v>
      </c>
      <c r="H34" s="2">
        <v>162</v>
      </c>
      <c r="I34" s="2">
        <v>95</v>
      </c>
      <c r="J34" s="2">
        <v>201</v>
      </c>
      <c r="K34" s="2">
        <v>246</v>
      </c>
      <c r="L34" s="2" t="s">
        <v>44</v>
      </c>
      <c r="M34" s="2" t="s">
        <v>67</v>
      </c>
      <c r="N34" s="2">
        <v>8</v>
      </c>
      <c r="O34" s="2" t="s">
        <v>76</v>
      </c>
      <c r="P34" s="2" t="s">
        <v>169</v>
      </c>
      <c r="Q34" s="2">
        <v>7</v>
      </c>
      <c r="R34" s="2">
        <v>12</v>
      </c>
      <c r="S34" s="2" t="s">
        <v>78</v>
      </c>
      <c r="T34" s="2" t="s">
        <v>26</v>
      </c>
    </row>
    <row r="35" spans="1:20" x14ac:dyDescent="0.35">
      <c r="A35" s="3" t="s">
        <v>170</v>
      </c>
      <c r="B35" s="3" t="s">
        <v>171</v>
      </c>
      <c r="C35" s="3">
        <v>52</v>
      </c>
      <c r="D35" s="3" t="s">
        <v>106</v>
      </c>
      <c r="E35" s="3" t="s">
        <v>65</v>
      </c>
      <c r="F35" s="3" t="s">
        <v>75</v>
      </c>
      <c r="G35" s="3">
        <v>25.3</v>
      </c>
      <c r="H35" s="3">
        <v>158</v>
      </c>
      <c r="I35" s="3">
        <v>77</v>
      </c>
      <c r="J35" s="3">
        <v>218</v>
      </c>
      <c r="K35" s="3">
        <v>134</v>
      </c>
      <c r="L35" s="3" t="s">
        <v>86</v>
      </c>
      <c r="M35" s="3">
        <v>1</v>
      </c>
      <c r="N35" s="3">
        <v>4</v>
      </c>
      <c r="O35" s="3" t="s">
        <v>36</v>
      </c>
      <c r="P35" s="3" t="s">
        <v>172</v>
      </c>
      <c r="Q35" s="3">
        <v>5</v>
      </c>
      <c r="R35" s="3">
        <v>6</v>
      </c>
      <c r="S35" s="3" t="s">
        <v>78</v>
      </c>
      <c r="T35" s="3" t="s">
        <v>54</v>
      </c>
    </row>
    <row r="36" spans="1:20" x14ac:dyDescent="0.35">
      <c r="A36" s="2" t="s">
        <v>173</v>
      </c>
      <c r="B36" s="2" t="s">
        <v>174</v>
      </c>
      <c r="C36" s="2">
        <v>55</v>
      </c>
      <c r="D36" s="2" t="s">
        <v>41</v>
      </c>
      <c r="E36" s="2" t="s">
        <v>131</v>
      </c>
      <c r="F36" s="2" t="s">
        <v>52</v>
      </c>
      <c r="G36" s="2">
        <v>24.4</v>
      </c>
      <c r="H36" s="2">
        <v>146</v>
      </c>
      <c r="I36" s="2">
        <v>71</v>
      </c>
      <c r="J36" s="2">
        <v>217</v>
      </c>
      <c r="K36" s="2">
        <v>73</v>
      </c>
      <c r="L36" s="2" t="s">
        <v>76</v>
      </c>
      <c r="M36" s="2">
        <v>2</v>
      </c>
      <c r="N36" s="2">
        <v>5</v>
      </c>
      <c r="O36" s="2" t="s">
        <v>25</v>
      </c>
      <c r="P36" s="2" t="s">
        <v>175</v>
      </c>
      <c r="Q36" s="2">
        <v>4</v>
      </c>
      <c r="R36" s="2">
        <v>20</v>
      </c>
      <c r="S36" s="2" t="s">
        <v>70</v>
      </c>
      <c r="T36" s="2" t="s">
        <v>35</v>
      </c>
    </row>
    <row r="37" spans="1:20" x14ac:dyDescent="0.35">
      <c r="A37" s="3" t="s">
        <v>176</v>
      </c>
      <c r="B37" s="3" t="s">
        <v>177</v>
      </c>
      <c r="C37" s="3">
        <v>40</v>
      </c>
      <c r="D37" s="3" t="s">
        <v>54</v>
      </c>
      <c r="E37" s="3" t="s">
        <v>81</v>
      </c>
      <c r="F37" s="3" t="s">
        <v>90</v>
      </c>
      <c r="G37" s="3">
        <v>25.5</v>
      </c>
      <c r="H37" s="3">
        <v>106</v>
      </c>
      <c r="I37" s="3">
        <v>76</v>
      </c>
      <c r="J37" s="3">
        <v>262</v>
      </c>
      <c r="K37" s="3">
        <v>99</v>
      </c>
      <c r="L37" s="3" t="s">
        <v>35</v>
      </c>
      <c r="M37" s="3">
        <v>6</v>
      </c>
      <c r="N37" s="3">
        <v>8</v>
      </c>
      <c r="O37" s="3" t="s">
        <v>35</v>
      </c>
      <c r="P37" s="3" t="s">
        <v>178</v>
      </c>
      <c r="Q37" s="3">
        <v>18</v>
      </c>
      <c r="R37" s="3">
        <v>9</v>
      </c>
      <c r="S37" s="3" t="s">
        <v>92</v>
      </c>
      <c r="T37" s="3" t="s">
        <v>29</v>
      </c>
    </row>
    <row r="38" spans="1:20" x14ac:dyDescent="0.35">
      <c r="A38" s="2" t="s">
        <v>179</v>
      </c>
      <c r="B38" s="2" t="s">
        <v>180</v>
      </c>
      <c r="C38" s="2">
        <v>48</v>
      </c>
      <c r="D38" s="2" t="s">
        <v>22</v>
      </c>
      <c r="E38" s="2" t="s">
        <v>51</v>
      </c>
      <c r="F38" s="2" t="s">
        <v>34</v>
      </c>
      <c r="G38" s="2">
        <v>28.3</v>
      </c>
      <c r="H38" s="2">
        <v>156</v>
      </c>
      <c r="I38" s="2">
        <v>79</v>
      </c>
      <c r="J38" s="2">
        <v>249</v>
      </c>
      <c r="K38" s="2">
        <v>148</v>
      </c>
      <c r="L38" s="2"/>
      <c r="M38" s="2" t="s">
        <v>54</v>
      </c>
      <c r="N38" s="2">
        <v>1</v>
      </c>
      <c r="O38" s="2" t="s">
        <v>35</v>
      </c>
      <c r="P38" s="2" t="s">
        <v>181</v>
      </c>
      <c r="Q38" s="2">
        <v>8</v>
      </c>
      <c r="R38" s="2">
        <v>2</v>
      </c>
      <c r="S38" s="2" t="s">
        <v>60</v>
      </c>
      <c r="T38" s="2" t="s">
        <v>29</v>
      </c>
    </row>
    <row r="39" spans="1:20" x14ac:dyDescent="0.35">
      <c r="A39" s="3" t="s">
        <v>182</v>
      </c>
      <c r="B39" s="3" t="s">
        <v>183</v>
      </c>
      <c r="C39" s="3">
        <v>26</v>
      </c>
      <c r="D39" s="3" t="s">
        <v>50</v>
      </c>
      <c r="E39" s="3" t="s">
        <v>161</v>
      </c>
      <c r="F39" s="3" t="s">
        <v>34</v>
      </c>
      <c r="G39" s="3">
        <v>28.3</v>
      </c>
      <c r="H39" s="3">
        <v>160</v>
      </c>
      <c r="I39" s="3">
        <v>78</v>
      </c>
      <c r="J39" s="3">
        <v>148</v>
      </c>
      <c r="K39" s="3">
        <v>129</v>
      </c>
      <c r="L39" s="3" t="s">
        <v>29</v>
      </c>
      <c r="M39" s="3">
        <v>4</v>
      </c>
      <c r="N39" s="3">
        <v>8</v>
      </c>
      <c r="O39" s="3" t="s">
        <v>35</v>
      </c>
      <c r="P39" s="3" t="s">
        <v>184</v>
      </c>
      <c r="Q39" s="3">
        <v>20</v>
      </c>
      <c r="R39" s="3">
        <v>18</v>
      </c>
      <c r="S39" s="3"/>
      <c r="T39" s="3" t="s">
        <v>29</v>
      </c>
    </row>
    <row r="40" spans="1:20" x14ac:dyDescent="0.35">
      <c r="A40" s="2" t="s">
        <v>185</v>
      </c>
      <c r="B40" s="2" t="s">
        <v>186</v>
      </c>
      <c r="C40" s="2">
        <v>56</v>
      </c>
      <c r="D40" s="2" t="s">
        <v>22</v>
      </c>
      <c r="E40" s="2" t="s">
        <v>33</v>
      </c>
      <c r="F40" s="2" t="s">
        <v>57</v>
      </c>
      <c r="G40" s="2">
        <v>37.700000000000003</v>
      </c>
      <c r="H40" s="2">
        <v>109</v>
      </c>
      <c r="I40" s="2">
        <v>63</v>
      </c>
      <c r="J40" s="2">
        <v>182</v>
      </c>
      <c r="K40" s="2">
        <v>148</v>
      </c>
      <c r="L40" s="2"/>
      <c r="M40" s="2" t="s">
        <v>54</v>
      </c>
      <c r="N40" s="2">
        <v>5</v>
      </c>
      <c r="O40" s="2" t="s">
        <v>76</v>
      </c>
      <c r="P40" s="2" t="s">
        <v>187</v>
      </c>
      <c r="Q40" s="2">
        <v>9</v>
      </c>
      <c r="R40" s="2">
        <v>12</v>
      </c>
      <c r="S40" s="2" t="s">
        <v>166</v>
      </c>
      <c r="T40" s="2" t="s">
        <v>100</v>
      </c>
    </row>
    <row r="41" spans="1:20" x14ac:dyDescent="0.35">
      <c r="A41" s="3" t="s">
        <v>188</v>
      </c>
      <c r="B41" s="3" t="s">
        <v>189</v>
      </c>
      <c r="C41" s="3">
        <v>50</v>
      </c>
      <c r="D41" s="3" t="s">
        <v>73</v>
      </c>
      <c r="E41" s="3" t="s">
        <v>42</v>
      </c>
      <c r="F41" s="3" t="s">
        <v>117</v>
      </c>
      <c r="G41" s="3">
        <v>39.200000000000003</v>
      </c>
      <c r="H41" s="3"/>
      <c r="I41" s="3">
        <v>98</v>
      </c>
      <c r="J41" s="3">
        <v>204</v>
      </c>
      <c r="K41" s="3">
        <v>76</v>
      </c>
      <c r="L41" s="3" t="s">
        <v>35</v>
      </c>
      <c r="M41" s="3">
        <v>3</v>
      </c>
      <c r="N41" s="3">
        <v>10</v>
      </c>
      <c r="O41" s="3" t="s">
        <v>25</v>
      </c>
      <c r="P41" s="3" t="s">
        <v>190</v>
      </c>
      <c r="Q41" s="3">
        <v>5</v>
      </c>
      <c r="R41" s="3">
        <v>15</v>
      </c>
      <c r="S41" s="3" t="s">
        <v>38</v>
      </c>
      <c r="T41" s="3" t="s">
        <v>54</v>
      </c>
    </row>
    <row r="42" spans="1:20" x14ac:dyDescent="0.35">
      <c r="A42" s="2" t="s">
        <v>191</v>
      </c>
      <c r="B42" s="2" t="s">
        <v>192</v>
      </c>
      <c r="C42" s="2">
        <v>59</v>
      </c>
      <c r="D42" s="2" t="s">
        <v>64</v>
      </c>
      <c r="E42" s="2" t="s">
        <v>81</v>
      </c>
      <c r="F42" s="2" t="s">
        <v>82</v>
      </c>
      <c r="G42" s="2">
        <v>28.8</v>
      </c>
      <c r="H42" s="2">
        <v>152</v>
      </c>
      <c r="I42" s="2">
        <v>81</v>
      </c>
      <c r="J42" s="2">
        <v>222</v>
      </c>
      <c r="K42" s="2">
        <v>241</v>
      </c>
      <c r="L42" s="2" t="s">
        <v>35</v>
      </c>
      <c r="M42" s="2">
        <v>2</v>
      </c>
      <c r="N42" s="2">
        <v>6</v>
      </c>
      <c r="O42" s="2" t="s">
        <v>44</v>
      </c>
      <c r="P42" s="2" t="s">
        <v>193</v>
      </c>
      <c r="Q42" s="2">
        <v>12</v>
      </c>
      <c r="R42" s="2">
        <v>17</v>
      </c>
      <c r="S42" s="2" t="s">
        <v>99</v>
      </c>
      <c r="T42" s="2" t="s">
        <v>54</v>
      </c>
    </row>
    <row r="43" spans="1:20" x14ac:dyDescent="0.35">
      <c r="A43" s="3" t="s">
        <v>194</v>
      </c>
      <c r="B43" s="3" t="s">
        <v>130</v>
      </c>
      <c r="C43" s="3">
        <v>38</v>
      </c>
      <c r="D43" s="3" t="s">
        <v>106</v>
      </c>
      <c r="E43" s="3" t="s">
        <v>131</v>
      </c>
      <c r="F43" s="3" t="s">
        <v>34</v>
      </c>
      <c r="G43" s="3">
        <v>38.6</v>
      </c>
      <c r="H43" s="3">
        <v>100</v>
      </c>
      <c r="I43" s="3">
        <v>102</v>
      </c>
      <c r="J43" s="3">
        <v>278</v>
      </c>
      <c r="K43" s="3">
        <v>188</v>
      </c>
      <c r="L43" s="3" t="s">
        <v>58</v>
      </c>
      <c r="M43" s="3">
        <v>0</v>
      </c>
      <c r="N43" s="3">
        <v>4</v>
      </c>
      <c r="O43" s="3" t="s">
        <v>36</v>
      </c>
      <c r="P43" s="3" t="s">
        <v>195</v>
      </c>
      <c r="Q43" s="3">
        <v>1</v>
      </c>
      <c r="R43" s="3">
        <v>6</v>
      </c>
      <c r="S43" s="3" t="s">
        <v>166</v>
      </c>
      <c r="T43" s="3" t="s">
        <v>100</v>
      </c>
    </row>
    <row r="44" spans="1:20" x14ac:dyDescent="0.35">
      <c r="A44" s="2" t="s">
        <v>196</v>
      </c>
      <c r="B44" s="2" t="s">
        <v>197</v>
      </c>
      <c r="C44" s="2">
        <v>50</v>
      </c>
      <c r="D44" s="2" t="s">
        <v>54</v>
      </c>
      <c r="E44" s="2" t="s">
        <v>131</v>
      </c>
      <c r="F44" s="2" t="s">
        <v>117</v>
      </c>
      <c r="G44" s="2">
        <v>41.3</v>
      </c>
      <c r="H44" s="2">
        <v>130</v>
      </c>
      <c r="I44" s="2">
        <v>105</v>
      </c>
      <c r="J44" s="2">
        <v>180</v>
      </c>
      <c r="K44" s="2">
        <v>149</v>
      </c>
      <c r="L44" s="2" t="s">
        <v>76</v>
      </c>
      <c r="M44" s="2">
        <v>0</v>
      </c>
      <c r="N44" s="2">
        <v>9</v>
      </c>
      <c r="O44" s="2" t="s">
        <v>44</v>
      </c>
      <c r="P44" s="2" t="s">
        <v>198</v>
      </c>
      <c r="Q44" s="2">
        <v>3</v>
      </c>
      <c r="R44" s="2">
        <v>14</v>
      </c>
      <c r="S44" s="2" t="s">
        <v>92</v>
      </c>
      <c r="T44" s="2" t="s">
        <v>61</v>
      </c>
    </row>
    <row r="45" spans="1:20" x14ac:dyDescent="0.35">
      <c r="A45" s="3" t="s">
        <v>199</v>
      </c>
      <c r="B45" s="3" t="s">
        <v>200</v>
      </c>
      <c r="C45" s="3">
        <v>54</v>
      </c>
      <c r="D45" s="3" t="s">
        <v>41</v>
      </c>
      <c r="E45" s="3" t="s">
        <v>65</v>
      </c>
      <c r="F45" s="3" t="s">
        <v>90</v>
      </c>
      <c r="G45" s="3">
        <v>41.5</v>
      </c>
      <c r="H45" s="3">
        <v>131</v>
      </c>
      <c r="I45" s="3">
        <v>89</v>
      </c>
      <c r="J45" s="3">
        <v>177</v>
      </c>
      <c r="K45" s="3">
        <v>168</v>
      </c>
      <c r="L45" s="3" t="s">
        <v>86</v>
      </c>
      <c r="M45" s="3" t="s">
        <v>54</v>
      </c>
      <c r="N45" s="3">
        <v>9</v>
      </c>
      <c r="O45" s="3" t="s">
        <v>29</v>
      </c>
      <c r="P45" s="3" t="s">
        <v>201</v>
      </c>
      <c r="Q45" s="3">
        <v>13</v>
      </c>
      <c r="R45" s="3">
        <v>10</v>
      </c>
      <c r="S45" s="3" t="s">
        <v>38</v>
      </c>
      <c r="T45" s="3" t="s">
        <v>26</v>
      </c>
    </row>
    <row r="46" spans="1:20" x14ac:dyDescent="0.35">
      <c r="A46" s="2" t="s">
        <v>202</v>
      </c>
      <c r="B46" s="2" t="s">
        <v>203</v>
      </c>
      <c r="C46" s="2">
        <v>41</v>
      </c>
      <c r="D46" s="2" t="s">
        <v>54</v>
      </c>
      <c r="E46" s="2" t="s">
        <v>33</v>
      </c>
      <c r="F46" s="2" t="s">
        <v>90</v>
      </c>
      <c r="G46" s="2">
        <v>30.5</v>
      </c>
      <c r="H46" s="2">
        <v>144</v>
      </c>
      <c r="I46" s="2">
        <v>81</v>
      </c>
      <c r="J46" s="2">
        <v>279</v>
      </c>
      <c r="K46" s="2">
        <v>166</v>
      </c>
      <c r="L46" s="2" t="s">
        <v>44</v>
      </c>
      <c r="M46" s="2">
        <v>5</v>
      </c>
      <c r="N46" s="2"/>
      <c r="O46" s="2" t="s">
        <v>26</v>
      </c>
      <c r="P46" s="2" t="s">
        <v>204</v>
      </c>
      <c r="Q46" s="2">
        <v>13</v>
      </c>
      <c r="R46" s="2">
        <v>1</v>
      </c>
      <c r="S46" s="2" t="s">
        <v>46</v>
      </c>
      <c r="T46" s="2" t="s">
        <v>54</v>
      </c>
    </row>
    <row r="47" spans="1:20" x14ac:dyDescent="0.35">
      <c r="A47" s="3" t="s">
        <v>205</v>
      </c>
      <c r="B47" s="3" t="s">
        <v>206</v>
      </c>
      <c r="C47" s="3">
        <v>31</v>
      </c>
      <c r="D47" s="3" t="s">
        <v>54</v>
      </c>
      <c r="E47" s="3" t="s">
        <v>161</v>
      </c>
      <c r="F47" s="3" t="s">
        <v>24</v>
      </c>
      <c r="G47" s="3">
        <v>29.6</v>
      </c>
      <c r="H47" s="3">
        <v>142</v>
      </c>
      <c r="I47" s="3">
        <v>66</v>
      </c>
      <c r="J47" s="3">
        <v>252</v>
      </c>
      <c r="K47" s="3">
        <v>95</v>
      </c>
      <c r="L47" s="3" t="s">
        <v>76</v>
      </c>
      <c r="M47" s="3">
        <v>7</v>
      </c>
      <c r="N47" s="3">
        <v>1</v>
      </c>
      <c r="O47" s="3" t="s">
        <v>29</v>
      </c>
      <c r="P47" s="3" t="s">
        <v>207</v>
      </c>
      <c r="Q47" s="3">
        <v>2</v>
      </c>
      <c r="R47" s="3">
        <v>15</v>
      </c>
      <c r="S47" s="3" t="s">
        <v>166</v>
      </c>
      <c r="T47" s="3" t="s">
        <v>47</v>
      </c>
    </row>
    <row r="48" spans="1:20" x14ac:dyDescent="0.35">
      <c r="A48" s="2" t="s">
        <v>208</v>
      </c>
      <c r="B48" s="2" t="s">
        <v>209</v>
      </c>
      <c r="C48" s="2">
        <v>27</v>
      </c>
      <c r="D48" s="2" t="s">
        <v>106</v>
      </c>
      <c r="E48" s="2" t="s">
        <v>51</v>
      </c>
      <c r="F48" s="2" t="s">
        <v>34</v>
      </c>
      <c r="G48" s="2">
        <v>40.9</v>
      </c>
      <c r="H48" s="2">
        <v>162</v>
      </c>
      <c r="I48" s="2">
        <v>94</v>
      </c>
      <c r="J48" s="2">
        <v>149</v>
      </c>
      <c r="K48" s="2">
        <v>228</v>
      </c>
      <c r="L48" s="2" t="s">
        <v>35</v>
      </c>
      <c r="M48" s="2">
        <v>3</v>
      </c>
      <c r="N48" s="2">
        <v>5</v>
      </c>
      <c r="O48" s="2" t="s">
        <v>26</v>
      </c>
      <c r="P48" s="2" t="s">
        <v>210</v>
      </c>
      <c r="Q48" s="2">
        <v>20</v>
      </c>
      <c r="R48" s="2">
        <v>3</v>
      </c>
      <c r="S48" s="2" t="s">
        <v>70</v>
      </c>
      <c r="T48" s="2" t="s">
        <v>61</v>
      </c>
    </row>
    <row r="49" spans="1:20" x14ac:dyDescent="0.35">
      <c r="A49" s="3" t="s">
        <v>211</v>
      </c>
      <c r="B49" s="3" t="s">
        <v>212</v>
      </c>
      <c r="C49" s="3">
        <v>24</v>
      </c>
      <c r="D49" s="3" t="s">
        <v>106</v>
      </c>
      <c r="E49" s="3" t="s">
        <v>161</v>
      </c>
      <c r="F49" s="3" t="s">
        <v>57</v>
      </c>
      <c r="G49" s="3">
        <v>26</v>
      </c>
      <c r="H49" s="3">
        <v>155</v>
      </c>
      <c r="I49" s="3">
        <v>69</v>
      </c>
      <c r="J49" s="3">
        <v>202</v>
      </c>
      <c r="K49" s="3">
        <v>205</v>
      </c>
      <c r="L49" s="3" t="s">
        <v>58</v>
      </c>
      <c r="M49" s="3" t="s">
        <v>54</v>
      </c>
      <c r="N49" s="3">
        <v>3</v>
      </c>
      <c r="O49" s="3" t="s">
        <v>29</v>
      </c>
      <c r="P49" s="3" t="s">
        <v>213</v>
      </c>
      <c r="Q49" s="3">
        <v>12</v>
      </c>
      <c r="R49" s="3">
        <v>19</v>
      </c>
      <c r="S49" s="3"/>
      <c r="T49" s="3" t="s">
        <v>29</v>
      </c>
    </row>
    <row r="50" spans="1:20" x14ac:dyDescent="0.35">
      <c r="A50" s="2" t="s">
        <v>214</v>
      </c>
      <c r="B50" s="2" t="s">
        <v>215</v>
      </c>
      <c r="C50" s="2">
        <v>31</v>
      </c>
      <c r="D50" s="2" t="s">
        <v>22</v>
      </c>
      <c r="E50" s="2" t="s">
        <v>81</v>
      </c>
      <c r="F50" s="2" t="s">
        <v>57</v>
      </c>
      <c r="G50" s="2">
        <v>28.5</v>
      </c>
      <c r="H50" s="2">
        <v>101</v>
      </c>
      <c r="I50" s="2">
        <v>89</v>
      </c>
      <c r="J50" s="2">
        <v>213</v>
      </c>
      <c r="K50" s="2">
        <v>243</v>
      </c>
      <c r="L50" s="2" t="s">
        <v>76</v>
      </c>
      <c r="M50" s="2">
        <v>2</v>
      </c>
      <c r="N50" s="2">
        <v>2</v>
      </c>
      <c r="O50" s="2" t="s">
        <v>76</v>
      </c>
      <c r="P50" s="2" t="s">
        <v>216</v>
      </c>
      <c r="Q50" s="2">
        <v>20</v>
      </c>
      <c r="R50" s="2">
        <v>13</v>
      </c>
      <c r="S50" s="2" t="s">
        <v>166</v>
      </c>
      <c r="T50" s="2" t="s">
        <v>54</v>
      </c>
    </row>
    <row r="51" spans="1:20" x14ac:dyDescent="0.35">
      <c r="A51" s="3" t="s">
        <v>214</v>
      </c>
      <c r="B51" s="3" t="s">
        <v>217</v>
      </c>
      <c r="C51" s="3">
        <v>46</v>
      </c>
      <c r="D51" s="3" t="s">
        <v>54</v>
      </c>
      <c r="E51" s="3" t="s">
        <v>131</v>
      </c>
      <c r="F51" s="3" t="s">
        <v>52</v>
      </c>
      <c r="G51" s="3">
        <v>26.5</v>
      </c>
      <c r="H51" s="3">
        <v>145</v>
      </c>
      <c r="I51" s="3">
        <v>96</v>
      </c>
      <c r="J51" s="3">
        <v>215</v>
      </c>
      <c r="K51" s="3">
        <v>249</v>
      </c>
      <c r="L51" s="3" t="s">
        <v>29</v>
      </c>
      <c r="M51" s="3">
        <v>0</v>
      </c>
      <c r="N51" s="3">
        <v>7</v>
      </c>
      <c r="O51" s="3" t="s">
        <v>68</v>
      </c>
      <c r="P51" s="3" t="s">
        <v>218</v>
      </c>
      <c r="Q51" s="3">
        <v>1</v>
      </c>
      <c r="R51" s="3">
        <v>19</v>
      </c>
      <c r="S51" s="3" t="s">
        <v>70</v>
      </c>
      <c r="T51" s="3" t="s">
        <v>26</v>
      </c>
    </row>
    <row r="52" spans="1:20" x14ac:dyDescent="0.35">
      <c r="A52" s="2" t="s">
        <v>219</v>
      </c>
      <c r="B52" s="2" t="s">
        <v>220</v>
      </c>
      <c r="C52" s="2">
        <v>44</v>
      </c>
      <c r="D52" s="2" t="s">
        <v>22</v>
      </c>
      <c r="E52" s="2" t="s">
        <v>23</v>
      </c>
      <c r="F52" s="2" t="s">
        <v>66</v>
      </c>
      <c r="G52" s="2">
        <v>23.3</v>
      </c>
      <c r="H52" s="2">
        <v>117</v>
      </c>
      <c r="I52" s="2">
        <v>100</v>
      </c>
      <c r="J52" s="2">
        <v>164</v>
      </c>
      <c r="K52" s="2">
        <v>230</v>
      </c>
      <c r="L52" s="2" t="s">
        <v>25</v>
      </c>
      <c r="M52" s="2">
        <v>4</v>
      </c>
      <c r="N52" s="2">
        <v>8</v>
      </c>
      <c r="O52" s="2" t="s">
        <v>25</v>
      </c>
      <c r="P52" s="2" t="s">
        <v>221</v>
      </c>
      <c r="Q52" s="2">
        <v>2</v>
      </c>
      <c r="R52" s="2">
        <v>9</v>
      </c>
      <c r="S52" s="2" t="s">
        <v>46</v>
      </c>
      <c r="T52" s="2"/>
    </row>
    <row r="53" spans="1:20" x14ac:dyDescent="0.35">
      <c r="A53" s="3" t="s">
        <v>222</v>
      </c>
      <c r="B53" s="3" t="s">
        <v>223</v>
      </c>
      <c r="C53" s="3">
        <v>30</v>
      </c>
      <c r="D53" s="3" t="s">
        <v>106</v>
      </c>
      <c r="E53" s="3" t="s">
        <v>51</v>
      </c>
      <c r="F53" s="3" t="s">
        <v>75</v>
      </c>
      <c r="G53" s="3">
        <v>39.799999999999997</v>
      </c>
      <c r="H53" s="3">
        <v>121</v>
      </c>
      <c r="I53" s="3">
        <v>76</v>
      </c>
      <c r="J53" s="3">
        <v>263</v>
      </c>
      <c r="K53" s="3">
        <v>145</v>
      </c>
      <c r="L53" s="3" t="s">
        <v>26</v>
      </c>
      <c r="M53" s="3">
        <v>1</v>
      </c>
      <c r="N53" s="3">
        <v>8</v>
      </c>
      <c r="O53" s="3" t="s">
        <v>35</v>
      </c>
      <c r="P53" s="3" t="s">
        <v>224</v>
      </c>
      <c r="Q53" s="3">
        <v>12</v>
      </c>
      <c r="R53" s="3">
        <v>17</v>
      </c>
      <c r="S53" s="3" t="s">
        <v>46</v>
      </c>
      <c r="T53" s="3" t="s">
        <v>35</v>
      </c>
    </row>
    <row r="54" spans="1:20" x14ac:dyDescent="0.35">
      <c r="A54" s="2" t="s">
        <v>225</v>
      </c>
      <c r="B54" s="2" t="s">
        <v>226</v>
      </c>
      <c r="C54" s="2">
        <v>38</v>
      </c>
      <c r="D54" s="2" t="s">
        <v>73</v>
      </c>
      <c r="E54" s="2" t="s">
        <v>81</v>
      </c>
      <c r="F54" s="2" t="s">
        <v>43</v>
      </c>
      <c r="G54" s="2">
        <v>33.799999999999997</v>
      </c>
      <c r="H54" s="2">
        <v>133</v>
      </c>
      <c r="I54" s="2">
        <v>97</v>
      </c>
      <c r="J54" s="2">
        <v>237</v>
      </c>
      <c r="K54" s="2">
        <v>233</v>
      </c>
      <c r="L54" s="2" t="s">
        <v>26</v>
      </c>
      <c r="M54" s="2">
        <v>1</v>
      </c>
      <c r="N54" s="2">
        <v>4</v>
      </c>
      <c r="O54" s="2" t="s">
        <v>76</v>
      </c>
      <c r="P54" s="2" t="s">
        <v>227</v>
      </c>
      <c r="Q54" s="2">
        <v>10</v>
      </c>
      <c r="R54" s="2">
        <v>19</v>
      </c>
      <c r="S54" s="2" t="s">
        <v>78</v>
      </c>
      <c r="T54" s="2" t="s">
        <v>35</v>
      </c>
    </row>
    <row r="55" spans="1:20" x14ac:dyDescent="0.35">
      <c r="A55" s="3" t="s">
        <v>228</v>
      </c>
      <c r="B55" s="3" t="s">
        <v>229</v>
      </c>
      <c r="C55" s="3">
        <v>48</v>
      </c>
      <c r="D55" s="3" t="s">
        <v>73</v>
      </c>
      <c r="E55" s="3" t="s">
        <v>33</v>
      </c>
      <c r="F55" s="3" t="s">
        <v>117</v>
      </c>
      <c r="G55" s="3">
        <v>40.700000000000003</v>
      </c>
      <c r="H55" s="3">
        <v>138</v>
      </c>
      <c r="I55" s="3">
        <v>91</v>
      </c>
      <c r="J55" s="3">
        <v>169</v>
      </c>
      <c r="K55" s="3">
        <v>94</v>
      </c>
      <c r="L55" s="3" t="s">
        <v>86</v>
      </c>
      <c r="M55" s="3"/>
      <c r="N55" s="3">
        <v>3</v>
      </c>
      <c r="O55" s="3" t="s">
        <v>44</v>
      </c>
      <c r="P55" s="3" t="s">
        <v>230</v>
      </c>
      <c r="Q55" s="3">
        <v>17</v>
      </c>
      <c r="R55" s="3">
        <v>13</v>
      </c>
      <c r="S55" s="3" t="s">
        <v>54</v>
      </c>
      <c r="T55" s="3" t="s">
        <v>61</v>
      </c>
    </row>
    <row r="56" spans="1:20" x14ac:dyDescent="0.35">
      <c r="A56" s="2" t="s">
        <v>231</v>
      </c>
      <c r="B56" s="2" t="s">
        <v>186</v>
      </c>
      <c r="C56" s="2">
        <v>53</v>
      </c>
      <c r="D56" s="2" t="s">
        <v>64</v>
      </c>
      <c r="E56" s="2" t="s">
        <v>74</v>
      </c>
      <c r="F56" s="2" t="s">
        <v>117</v>
      </c>
      <c r="G56" s="2">
        <v>34.299999999999997</v>
      </c>
      <c r="H56" s="2">
        <v>127</v>
      </c>
      <c r="I56" s="2">
        <v>88</v>
      </c>
      <c r="J56" s="2"/>
      <c r="K56" s="2">
        <v>130</v>
      </c>
      <c r="L56" s="2" t="s">
        <v>26</v>
      </c>
      <c r="M56" s="2">
        <v>1</v>
      </c>
      <c r="N56" s="2">
        <v>6</v>
      </c>
      <c r="O56" s="2" t="s">
        <v>36</v>
      </c>
      <c r="P56" s="2" t="s">
        <v>232</v>
      </c>
      <c r="Q56" s="2">
        <v>6</v>
      </c>
      <c r="R56" s="2">
        <v>3</v>
      </c>
      <c r="S56" s="2" t="s">
        <v>70</v>
      </c>
      <c r="T56" s="2" t="s">
        <v>35</v>
      </c>
    </row>
    <row r="57" spans="1:20" x14ac:dyDescent="0.35">
      <c r="A57" s="3" t="s">
        <v>233</v>
      </c>
      <c r="B57" s="3" t="s">
        <v>234</v>
      </c>
      <c r="C57" s="3">
        <v>23</v>
      </c>
      <c r="D57" s="3" t="s">
        <v>32</v>
      </c>
      <c r="E57" s="3" t="s">
        <v>127</v>
      </c>
      <c r="F57" s="3" t="s">
        <v>52</v>
      </c>
      <c r="G57" s="3">
        <v>41.7</v>
      </c>
      <c r="H57" s="3">
        <v>126</v>
      </c>
      <c r="I57" s="3">
        <v>64</v>
      </c>
      <c r="J57" s="3">
        <v>193</v>
      </c>
      <c r="K57" s="3">
        <v>220</v>
      </c>
      <c r="L57" s="3" t="s">
        <v>86</v>
      </c>
      <c r="M57" s="3">
        <v>3</v>
      </c>
      <c r="N57" s="3">
        <v>6</v>
      </c>
      <c r="O57" s="3" t="s">
        <v>29</v>
      </c>
      <c r="P57" s="3" t="s">
        <v>235</v>
      </c>
      <c r="Q57" s="3">
        <v>4</v>
      </c>
      <c r="R57" s="3">
        <v>4</v>
      </c>
      <c r="S57" s="3" t="s">
        <v>38</v>
      </c>
      <c r="T57" s="3" t="s">
        <v>26</v>
      </c>
    </row>
    <row r="58" spans="1:20" x14ac:dyDescent="0.35">
      <c r="A58" s="2" t="s">
        <v>236</v>
      </c>
      <c r="B58" s="2" t="s">
        <v>237</v>
      </c>
      <c r="C58" s="2">
        <v>23</v>
      </c>
      <c r="D58" s="2" t="s">
        <v>50</v>
      </c>
      <c r="E58" s="2" t="s">
        <v>161</v>
      </c>
      <c r="F58" s="2" t="s">
        <v>43</v>
      </c>
      <c r="G58" s="2">
        <v>36.700000000000003</v>
      </c>
      <c r="H58" s="2">
        <v>130</v>
      </c>
      <c r="I58" s="2">
        <v>97</v>
      </c>
      <c r="J58" s="2">
        <v>222</v>
      </c>
      <c r="K58" s="2">
        <v>74</v>
      </c>
      <c r="L58" s="2" t="s">
        <v>107</v>
      </c>
      <c r="M58" s="2">
        <v>4</v>
      </c>
      <c r="N58" s="2">
        <v>1</v>
      </c>
      <c r="O58" s="2" t="s">
        <v>29</v>
      </c>
      <c r="P58" s="2" t="s">
        <v>238</v>
      </c>
      <c r="Q58" s="2">
        <v>2</v>
      </c>
      <c r="R58" s="2">
        <v>15</v>
      </c>
      <c r="S58" s="2" t="s">
        <v>70</v>
      </c>
      <c r="T58" s="2" t="s">
        <v>47</v>
      </c>
    </row>
    <row r="59" spans="1:20" x14ac:dyDescent="0.35">
      <c r="A59" s="3" t="s">
        <v>239</v>
      </c>
      <c r="B59" s="3" t="s">
        <v>240</v>
      </c>
      <c r="C59" s="3">
        <v>28</v>
      </c>
      <c r="D59" s="3" t="s">
        <v>54</v>
      </c>
      <c r="E59" s="3" t="s">
        <v>51</v>
      </c>
      <c r="F59" s="3" t="s">
        <v>52</v>
      </c>
      <c r="G59" s="3">
        <v>40.6</v>
      </c>
      <c r="H59" s="3">
        <v>105</v>
      </c>
      <c r="I59" s="3">
        <v>102</v>
      </c>
      <c r="J59" s="3">
        <v>273</v>
      </c>
      <c r="K59" s="3">
        <v>147</v>
      </c>
      <c r="L59" s="3" t="s">
        <v>44</v>
      </c>
      <c r="M59" s="3" t="s">
        <v>67</v>
      </c>
      <c r="N59" s="3">
        <v>1</v>
      </c>
      <c r="O59" s="3" t="s">
        <v>25</v>
      </c>
      <c r="P59" s="3" t="s">
        <v>241</v>
      </c>
      <c r="Q59" s="3">
        <v>3</v>
      </c>
      <c r="R59" s="3">
        <v>15</v>
      </c>
      <c r="S59" s="3" t="s">
        <v>70</v>
      </c>
      <c r="T59" s="3" t="s">
        <v>35</v>
      </c>
    </row>
    <row r="60" spans="1:20" x14ac:dyDescent="0.35">
      <c r="A60" s="2" t="s">
        <v>242</v>
      </c>
      <c r="B60" s="2" t="s">
        <v>130</v>
      </c>
      <c r="C60" s="2">
        <v>60</v>
      </c>
      <c r="D60" s="2" t="s">
        <v>50</v>
      </c>
      <c r="E60" s="2" t="s">
        <v>131</v>
      </c>
      <c r="F60" s="2" t="s">
        <v>24</v>
      </c>
      <c r="G60" s="2">
        <v>23.9</v>
      </c>
      <c r="H60" s="2">
        <v>170</v>
      </c>
      <c r="I60" s="2">
        <v>105</v>
      </c>
      <c r="J60" s="2">
        <v>223</v>
      </c>
      <c r="K60" s="2">
        <v>167</v>
      </c>
      <c r="L60" s="2"/>
      <c r="M60" s="2"/>
      <c r="N60" s="2">
        <v>5</v>
      </c>
      <c r="O60" s="2" t="s">
        <v>76</v>
      </c>
      <c r="P60" s="2" t="s">
        <v>243</v>
      </c>
      <c r="Q60" s="2">
        <v>3</v>
      </c>
      <c r="R60" s="2">
        <v>20</v>
      </c>
      <c r="S60" s="2"/>
      <c r="T60" s="2" t="s">
        <v>100</v>
      </c>
    </row>
    <row r="61" spans="1:20" x14ac:dyDescent="0.35">
      <c r="A61" s="3" t="s">
        <v>244</v>
      </c>
      <c r="B61" s="3" t="s">
        <v>245</v>
      </c>
      <c r="C61" s="3">
        <v>120</v>
      </c>
      <c r="D61" s="3" t="s">
        <v>64</v>
      </c>
      <c r="E61" s="3" t="s">
        <v>127</v>
      </c>
      <c r="F61" s="3" t="s">
        <v>90</v>
      </c>
      <c r="G61" s="3">
        <v>27</v>
      </c>
      <c r="H61" s="3">
        <v>112</v>
      </c>
      <c r="I61" s="3">
        <v>80</v>
      </c>
      <c r="J61" s="3">
        <v>249</v>
      </c>
      <c r="K61" s="3">
        <v>150</v>
      </c>
      <c r="L61" s="3" t="s">
        <v>29</v>
      </c>
      <c r="M61" s="3">
        <v>5</v>
      </c>
      <c r="N61" s="3">
        <v>3</v>
      </c>
      <c r="O61" s="3" t="s">
        <v>76</v>
      </c>
      <c r="P61" s="3" t="s">
        <v>158</v>
      </c>
      <c r="Q61" s="3"/>
      <c r="R61" s="3">
        <v>13</v>
      </c>
      <c r="S61" s="3" t="s">
        <v>46</v>
      </c>
      <c r="T61" s="3" t="s">
        <v>61</v>
      </c>
    </row>
    <row r="62" spans="1:20" x14ac:dyDescent="0.35">
      <c r="A62" s="2" t="s">
        <v>246</v>
      </c>
      <c r="B62" s="2" t="s">
        <v>247</v>
      </c>
      <c r="C62" s="2">
        <v>59</v>
      </c>
      <c r="D62" s="2" t="s">
        <v>106</v>
      </c>
      <c r="E62" s="2" t="s">
        <v>131</v>
      </c>
      <c r="F62" s="2" t="s">
        <v>34</v>
      </c>
      <c r="G62" s="2">
        <v>25.8</v>
      </c>
      <c r="H62" s="2">
        <v>154</v>
      </c>
      <c r="I62" s="2">
        <v>63</v>
      </c>
      <c r="J62" s="2">
        <v>213</v>
      </c>
      <c r="K62" s="2">
        <v>223</v>
      </c>
      <c r="L62" s="2" t="s">
        <v>29</v>
      </c>
      <c r="M62" s="2">
        <v>5</v>
      </c>
      <c r="N62" s="2">
        <v>2</v>
      </c>
      <c r="O62" s="2" t="s">
        <v>26</v>
      </c>
      <c r="P62" s="2" t="s">
        <v>248</v>
      </c>
      <c r="Q62" s="2">
        <v>7</v>
      </c>
      <c r="R62" s="2">
        <v>3</v>
      </c>
      <c r="S62" s="2" t="s">
        <v>46</v>
      </c>
      <c r="T62" s="2" t="s">
        <v>100</v>
      </c>
    </row>
    <row r="63" spans="1:20" x14ac:dyDescent="0.35">
      <c r="A63" s="3" t="s">
        <v>249</v>
      </c>
      <c r="B63" s="3" t="s">
        <v>250</v>
      </c>
      <c r="C63" s="3">
        <v>39</v>
      </c>
      <c r="D63" s="3" t="s">
        <v>22</v>
      </c>
      <c r="E63" s="3" t="s">
        <v>65</v>
      </c>
      <c r="F63" s="3" t="s">
        <v>75</v>
      </c>
      <c r="G63" s="3">
        <v>41.4</v>
      </c>
      <c r="H63" s="3">
        <v>103</v>
      </c>
      <c r="I63" s="3">
        <v>98</v>
      </c>
      <c r="J63" s="3">
        <v>208</v>
      </c>
      <c r="K63" s="3">
        <v>77</v>
      </c>
      <c r="L63" s="3" t="s">
        <v>107</v>
      </c>
      <c r="M63" s="3">
        <v>4</v>
      </c>
      <c r="N63" s="3">
        <v>5</v>
      </c>
      <c r="O63" s="3" t="s">
        <v>36</v>
      </c>
      <c r="P63" s="3" t="s">
        <v>251</v>
      </c>
      <c r="Q63" s="3">
        <v>4</v>
      </c>
      <c r="R63" s="3">
        <v>18</v>
      </c>
      <c r="S63" s="3"/>
      <c r="T63" s="3"/>
    </row>
    <row r="64" spans="1:20" x14ac:dyDescent="0.35">
      <c r="A64" s="2" t="s">
        <v>252</v>
      </c>
      <c r="B64" s="2" t="s">
        <v>253</v>
      </c>
      <c r="C64" s="2">
        <v>62</v>
      </c>
      <c r="D64" s="2" t="s">
        <v>32</v>
      </c>
      <c r="E64" s="2" t="s">
        <v>131</v>
      </c>
      <c r="F64" s="2" t="s">
        <v>75</v>
      </c>
      <c r="G64" s="2">
        <v>22.4</v>
      </c>
      <c r="H64" s="2">
        <v>153</v>
      </c>
      <c r="I64" s="2">
        <v>89</v>
      </c>
      <c r="J64" s="2">
        <v>227</v>
      </c>
      <c r="K64" s="2">
        <v>110</v>
      </c>
      <c r="L64" s="2" t="s">
        <v>26</v>
      </c>
      <c r="M64" s="2">
        <v>4</v>
      </c>
      <c r="N64" s="2">
        <v>6</v>
      </c>
      <c r="O64" s="2" t="s">
        <v>35</v>
      </c>
      <c r="P64" s="2" t="s">
        <v>254</v>
      </c>
      <c r="Q64" s="2">
        <v>19</v>
      </c>
      <c r="R64" s="2">
        <v>1</v>
      </c>
      <c r="S64" s="2"/>
      <c r="T64" s="2" t="s">
        <v>35</v>
      </c>
    </row>
    <row r="65" spans="1:20" x14ac:dyDescent="0.35">
      <c r="A65" s="3" t="s">
        <v>255</v>
      </c>
      <c r="B65" s="3" t="s">
        <v>256</v>
      </c>
      <c r="C65" s="3">
        <v>49</v>
      </c>
      <c r="D65" s="3" t="s">
        <v>54</v>
      </c>
      <c r="E65" s="3" t="s">
        <v>42</v>
      </c>
      <c r="F65" s="3" t="s">
        <v>90</v>
      </c>
      <c r="G65" s="3">
        <v>27.4</v>
      </c>
      <c r="H65" s="3">
        <v>127</v>
      </c>
      <c r="I65" s="3">
        <v>92</v>
      </c>
      <c r="J65" s="3">
        <v>169</v>
      </c>
      <c r="K65" s="3">
        <v>158</v>
      </c>
      <c r="L65" s="3" t="s">
        <v>58</v>
      </c>
      <c r="M65" s="3">
        <v>1</v>
      </c>
      <c r="N65" s="3">
        <v>5</v>
      </c>
      <c r="O65" s="3" t="s">
        <v>76</v>
      </c>
      <c r="P65" s="3" t="s">
        <v>257</v>
      </c>
      <c r="Q65" s="3">
        <v>12</v>
      </c>
      <c r="R65" s="3">
        <v>19</v>
      </c>
      <c r="S65" s="3" t="s">
        <v>99</v>
      </c>
      <c r="T65" s="3" t="s">
        <v>25</v>
      </c>
    </row>
    <row r="66" spans="1:20" x14ac:dyDescent="0.35">
      <c r="A66" s="2" t="s">
        <v>258</v>
      </c>
      <c r="B66" s="2" t="s">
        <v>259</v>
      </c>
      <c r="C66" s="2">
        <v>35</v>
      </c>
      <c r="D66" s="2" t="s">
        <v>50</v>
      </c>
      <c r="E66" s="2" t="s">
        <v>74</v>
      </c>
      <c r="F66" s="2" t="s">
        <v>57</v>
      </c>
      <c r="G66" s="2">
        <v>25.2</v>
      </c>
      <c r="H66" s="2">
        <v>100</v>
      </c>
      <c r="I66" s="2">
        <v>91</v>
      </c>
      <c r="J66" s="2">
        <v>250</v>
      </c>
      <c r="K66" s="2">
        <v>114</v>
      </c>
      <c r="L66" s="2" t="s">
        <v>107</v>
      </c>
      <c r="M66" s="2">
        <v>6</v>
      </c>
      <c r="N66" s="2">
        <v>9</v>
      </c>
      <c r="O66" s="2" t="s">
        <v>26</v>
      </c>
      <c r="P66" s="2" t="s">
        <v>260</v>
      </c>
      <c r="Q66" s="2">
        <v>1</v>
      </c>
      <c r="R66" s="2">
        <v>13</v>
      </c>
      <c r="S66" s="2" t="s">
        <v>99</v>
      </c>
      <c r="T66" s="2" t="s">
        <v>54</v>
      </c>
    </row>
    <row r="67" spans="1:20" x14ac:dyDescent="0.35">
      <c r="A67" s="3" t="s">
        <v>261</v>
      </c>
      <c r="B67" s="3" t="s">
        <v>130</v>
      </c>
      <c r="C67" s="3">
        <v>58</v>
      </c>
      <c r="D67" s="3" t="s">
        <v>64</v>
      </c>
      <c r="E67" s="3" t="s">
        <v>42</v>
      </c>
      <c r="F67" s="3" t="s">
        <v>34</v>
      </c>
      <c r="G67" s="3">
        <v>34.700000000000003</v>
      </c>
      <c r="H67" s="3">
        <v>153</v>
      </c>
      <c r="I67" s="3">
        <v>78</v>
      </c>
      <c r="J67" s="3">
        <v>169</v>
      </c>
      <c r="K67" s="3">
        <v>173</v>
      </c>
      <c r="L67" s="3" t="s">
        <v>25</v>
      </c>
      <c r="M67" s="3">
        <v>5</v>
      </c>
      <c r="N67" s="3">
        <v>3</v>
      </c>
      <c r="O67" s="3" t="s">
        <v>76</v>
      </c>
      <c r="P67" s="3" t="s">
        <v>262</v>
      </c>
      <c r="Q67" s="3">
        <v>3</v>
      </c>
      <c r="R67" s="3">
        <v>7</v>
      </c>
      <c r="S67" s="3" t="s">
        <v>28</v>
      </c>
      <c r="T67" s="3"/>
    </row>
    <row r="68" spans="1:20" x14ac:dyDescent="0.35">
      <c r="A68" s="2" t="s">
        <v>263</v>
      </c>
      <c r="B68" s="2" t="s">
        <v>264</v>
      </c>
      <c r="C68" s="2">
        <v>47</v>
      </c>
      <c r="D68" s="2" t="s">
        <v>41</v>
      </c>
      <c r="E68" s="2" t="s">
        <v>127</v>
      </c>
      <c r="F68" s="2" t="s">
        <v>52</v>
      </c>
      <c r="G68" s="2">
        <v>25.3</v>
      </c>
      <c r="H68" s="2">
        <v>121</v>
      </c>
      <c r="I68" s="2">
        <v>64</v>
      </c>
      <c r="J68" s="2">
        <v>270</v>
      </c>
      <c r="K68" s="2">
        <v>232</v>
      </c>
      <c r="L68" s="2" t="s">
        <v>35</v>
      </c>
      <c r="M68" s="2"/>
      <c r="N68" s="2">
        <v>9</v>
      </c>
      <c r="O68" s="2" t="s">
        <v>26</v>
      </c>
      <c r="P68" s="2" t="s">
        <v>265</v>
      </c>
      <c r="Q68" s="2">
        <v>20</v>
      </c>
      <c r="R68" s="2">
        <v>4</v>
      </c>
      <c r="S68" s="2" t="s">
        <v>78</v>
      </c>
      <c r="T68" s="2" t="s">
        <v>35</v>
      </c>
    </row>
    <row r="69" spans="1:20" x14ac:dyDescent="0.35">
      <c r="A69" s="3" t="s">
        <v>266</v>
      </c>
      <c r="B69" s="3" t="s">
        <v>267</v>
      </c>
      <c r="C69" s="3">
        <v>34</v>
      </c>
      <c r="D69" s="3" t="s">
        <v>50</v>
      </c>
      <c r="E69" s="3" t="s">
        <v>42</v>
      </c>
      <c r="F69" s="3" t="s">
        <v>24</v>
      </c>
      <c r="G69" s="3">
        <v>36</v>
      </c>
      <c r="H69" s="3">
        <v>109</v>
      </c>
      <c r="I69" s="3">
        <v>71</v>
      </c>
      <c r="J69" s="3">
        <v>266</v>
      </c>
      <c r="K69" s="3">
        <v>188</v>
      </c>
      <c r="L69" s="3"/>
      <c r="M69" s="3" t="s">
        <v>54</v>
      </c>
      <c r="N69" s="3">
        <v>8</v>
      </c>
      <c r="O69" s="3" t="s">
        <v>36</v>
      </c>
      <c r="P69" s="3" t="s">
        <v>268</v>
      </c>
      <c r="Q69" s="3">
        <v>2</v>
      </c>
      <c r="R69" s="3">
        <v>15</v>
      </c>
      <c r="S69" s="3" t="s">
        <v>70</v>
      </c>
      <c r="T69" s="3" t="s">
        <v>26</v>
      </c>
    </row>
    <row r="70" spans="1:20" x14ac:dyDescent="0.35">
      <c r="A70" s="2" t="s">
        <v>269</v>
      </c>
      <c r="B70" s="2" t="s">
        <v>174</v>
      </c>
      <c r="C70" s="2">
        <v>25</v>
      </c>
      <c r="D70" s="2" t="s">
        <v>106</v>
      </c>
      <c r="E70" s="2" t="s">
        <v>51</v>
      </c>
      <c r="F70" s="2" t="s">
        <v>82</v>
      </c>
      <c r="G70" s="2">
        <v>24.8</v>
      </c>
      <c r="H70" s="2">
        <v>157</v>
      </c>
      <c r="I70" s="2">
        <v>62</v>
      </c>
      <c r="J70" s="2">
        <v>154</v>
      </c>
      <c r="K70" s="2">
        <v>164</v>
      </c>
      <c r="L70" s="2" t="s">
        <v>29</v>
      </c>
      <c r="M70" s="2">
        <v>1</v>
      </c>
      <c r="N70" s="2">
        <v>2</v>
      </c>
      <c r="O70" s="2" t="s">
        <v>44</v>
      </c>
      <c r="P70" s="2" t="s">
        <v>270</v>
      </c>
      <c r="Q70" s="2">
        <v>1</v>
      </c>
      <c r="R70" s="2">
        <v>14</v>
      </c>
      <c r="S70" s="2" t="s">
        <v>54</v>
      </c>
      <c r="T70" s="2" t="s">
        <v>29</v>
      </c>
    </row>
    <row r="71" spans="1:20" x14ac:dyDescent="0.35">
      <c r="A71" s="3" t="s">
        <v>271</v>
      </c>
      <c r="B71" s="3" t="s">
        <v>272</v>
      </c>
      <c r="C71" s="3">
        <v>52</v>
      </c>
      <c r="D71" s="3" t="s">
        <v>50</v>
      </c>
      <c r="E71" s="3" t="s">
        <v>161</v>
      </c>
      <c r="F71" s="3" t="s">
        <v>90</v>
      </c>
      <c r="G71" s="3">
        <v>19.600000000000001</v>
      </c>
      <c r="H71" s="3">
        <v>143</v>
      </c>
      <c r="I71" s="3">
        <v>105</v>
      </c>
      <c r="J71" s="3">
        <v>161</v>
      </c>
      <c r="K71" s="3">
        <v>199</v>
      </c>
      <c r="L71" s="3" t="s">
        <v>107</v>
      </c>
      <c r="M71" s="3">
        <v>0</v>
      </c>
      <c r="N71" s="3">
        <v>4</v>
      </c>
      <c r="O71" s="3" t="s">
        <v>76</v>
      </c>
      <c r="P71" s="3" t="s">
        <v>273</v>
      </c>
      <c r="Q71" s="3">
        <v>19</v>
      </c>
      <c r="R71" s="3">
        <v>5</v>
      </c>
      <c r="S71" s="3" t="s">
        <v>46</v>
      </c>
      <c r="T71" s="3" t="s">
        <v>47</v>
      </c>
    </row>
    <row r="72" spans="1:20" x14ac:dyDescent="0.35">
      <c r="A72" s="2" t="s">
        <v>274</v>
      </c>
      <c r="B72" s="2" t="s">
        <v>275</v>
      </c>
      <c r="C72" s="2">
        <v>48</v>
      </c>
      <c r="D72" s="2" t="s">
        <v>106</v>
      </c>
      <c r="E72" s="2" t="s">
        <v>42</v>
      </c>
      <c r="F72" s="2" t="s">
        <v>117</v>
      </c>
      <c r="G72" s="2">
        <v>36.700000000000003</v>
      </c>
      <c r="H72" s="2">
        <v>142</v>
      </c>
      <c r="I72" s="2">
        <v>64</v>
      </c>
      <c r="J72" s="2">
        <v>224</v>
      </c>
      <c r="K72" s="2">
        <v>94</v>
      </c>
      <c r="L72" s="2" t="s">
        <v>76</v>
      </c>
      <c r="M72" s="2" t="s">
        <v>67</v>
      </c>
      <c r="N72" s="2">
        <v>7</v>
      </c>
      <c r="O72" s="2" t="s">
        <v>68</v>
      </c>
      <c r="P72" s="2" t="s">
        <v>276</v>
      </c>
      <c r="Q72" s="2">
        <v>19</v>
      </c>
      <c r="R72" s="2">
        <v>4</v>
      </c>
      <c r="S72" s="2" t="s">
        <v>46</v>
      </c>
      <c r="T72" s="2" t="s">
        <v>35</v>
      </c>
    </row>
    <row r="73" spans="1:20" x14ac:dyDescent="0.35">
      <c r="A73" s="3" t="s">
        <v>277</v>
      </c>
      <c r="B73" s="3" t="s">
        <v>278</v>
      </c>
      <c r="C73" s="3">
        <v>44</v>
      </c>
      <c r="D73" s="3" t="s">
        <v>41</v>
      </c>
      <c r="E73" s="3" t="s">
        <v>65</v>
      </c>
      <c r="F73" s="3" t="s">
        <v>24</v>
      </c>
      <c r="G73" s="3">
        <v>31.9</v>
      </c>
      <c r="H73" s="3">
        <v>110</v>
      </c>
      <c r="I73" s="3">
        <v>79</v>
      </c>
      <c r="J73" s="3">
        <v>236</v>
      </c>
      <c r="K73" s="3">
        <v>234</v>
      </c>
      <c r="L73" s="3" t="s">
        <v>26</v>
      </c>
      <c r="M73" s="3">
        <v>2</v>
      </c>
      <c r="N73" s="3">
        <v>9</v>
      </c>
      <c r="O73" s="3" t="s">
        <v>35</v>
      </c>
      <c r="P73" s="3" t="s">
        <v>279</v>
      </c>
      <c r="Q73" s="3">
        <v>0</v>
      </c>
      <c r="R73" s="3">
        <v>11</v>
      </c>
      <c r="S73" s="3" t="s">
        <v>166</v>
      </c>
      <c r="T73" s="3" t="s">
        <v>61</v>
      </c>
    </row>
    <row r="74" spans="1:20" x14ac:dyDescent="0.35">
      <c r="A74" s="2" t="s">
        <v>280</v>
      </c>
      <c r="B74" s="2" t="s">
        <v>281</v>
      </c>
      <c r="C74" s="2">
        <v>53</v>
      </c>
      <c r="D74" s="2" t="s">
        <v>22</v>
      </c>
      <c r="E74" s="2" t="s">
        <v>23</v>
      </c>
      <c r="F74" s="2" t="s">
        <v>24</v>
      </c>
      <c r="G74" s="2">
        <v>20.9</v>
      </c>
      <c r="H74" s="2">
        <v>137</v>
      </c>
      <c r="I74" s="2">
        <v>66</v>
      </c>
      <c r="J74" s="2">
        <v>269</v>
      </c>
      <c r="K74" s="2">
        <v>208</v>
      </c>
      <c r="L74" s="2" t="s">
        <v>76</v>
      </c>
      <c r="M74" s="2">
        <v>0</v>
      </c>
      <c r="N74" s="2">
        <v>6</v>
      </c>
      <c r="O74" s="2" t="s">
        <v>29</v>
      </c>
      <c r="P74" s="2" t="s">
        <v>282</v>
      </c>
      <c r="Q74" s="2">
        <v>5</v>
      </c>
      <c r="R74" s="2">
        <v>19</v>
      </c>
      <c r="S74" s="2" t="s">
        <v>60</v>
      </c>
      <c r="T74" s="2" t="s">
        <v>54</v>
      </c>
    </row>
    <row r="75" spans="1:20" x14ac:dyDescent="0.35">
      <c r="A75" s="3" t="s">
        <v>283</v>
      </c>
      <c r="B75" s="3" t="s">
        <v>284</v>
      </c>
      <c r="C75" s="3">
        <v>45</v>
      </c>
      <c r="D75" s="3" t="s">
        <v>22</v>
      </c>
      <c r="E75" s="3" t="s">
        <v>81</v>
      </c>
      <c r="F75" s="3" t="s">
        <v>66</v>
      </c>
      <c r="G75" s="3">
        <v>24.1</v>
      </c>
      <c r="H75" s="3">
        <v>157</v>
      </c>
      <c r="I75" s="3">
        <v>74</v>
      </c>
      <c r="J75" s="3">
        <v>276</v>
      </c>
      <c r="K75" s="3">
        <v>131</v>
      </c>
      <c r="L75" s="3" t="s">
        <v>29</v>
      </c>
      <c r="M75" s="3">
        <v>7</v>
      </c>
      <c r="N75" s="3">
        <v>4</v>
      </c>
      <c r="O75" s="3" t="s">
        <v>36</v>
      </c>
      <c r="P75" s="3" t="s">
        <v>285</v>
      </c>
      <c r="Q75" s="3">
        <v>9</v>
      </c>
      <c r="R75" s="3">
        <v>12</v>
      </c>
      <c r="S75" s="3" t="s">
        <v>38</v>
      </c>
      <c r="T75" s="3" t="s">
        <v>100</v>
      </c>
    </row>
    <row r="76" spans="1:20" x14ac:dyDescent="0.35">
      <c r="A76" s="2" t="s">
        <v>283</v>
      </c>
      <c r="B76" s="2" t="s">
        <v>286</v>
      </c>
      <c r="C76" s="2">
        <v>34</v>
      </c>
      <c r="D76" s="2" t="s">
        <v>50</v>
      </c>
      <c r="E76" s="2" t="s">
        <v>74</v>
      </c>
      <c r="F76" s="2" t="s">
        <v>117</v>
      </c>
      <c r="G76" s="2">
        <v>33</v>
      </c>
      <c r="H76" s="2">
        <v>147</v>
      </c>
      <c r="I76" s="2">
        <v>95</v>
      </c>
      <c r="J76" s="2">
        <v>166</v>
      </c>
      <c r="K76" s="2">
        <v>202</v>
      </c>
      <c r="L76" s="2" t="s">
        <v>35</v>
      </c>
      <c r="M76" s="2">
        <v>4</v>
      </c>
      <c r="N76" s="2">
        <v>2</v>
      </c>
      <c r="O76" s="2" t="s">
        <v>29</v>
      </c>
      <c r="P76" s="2" t="s">
        <v>287</v>
      </c>
      <c r="Q76" s="2">
        <v>4</v>
      </c>
      <c r="R76" s="2">
        <v>13</v>
      </c>
      <c r="S76" s="2" t="s">
        <v>92</v>
      </c>
      <c r="T76" s="2" t="s">
        <v>29</v>
      </c>
    </row>
    <row r="77" spans="1:20" x14ac:dyDescent="0.35">
      <c r="A77" s="3" t="s">
        <v>288</v>
      </c>
      <c r="B77" s="3" t="s">
        <v>289</v>
      </c>
      <c r="C77" s="3">
        <v>23</v>
      </c>
      <c r="D77" s="3" t="s">
        <v>64</v>
      </c>
      <c r="E77" s="3" t="s">
        <v>161</v>
      </c>
      <c r="F77" s="3" t="s">
        <v>34</v>
      </c>
      <c r="G77" s="3">
        <v>29.6</v>
      </c>
      <c r="H77" s="3">
        <v>130</v>
      </c>
      <c r="I77" s="3">
        <v>84</v>
      </c>
      <c r="J77" s="3">
        <v>160</v>
      </c>
      <c r="K77" s="3">
        <v>165</v>
      </c>
      <c r="L77" s="3" t="s">
        <v>86</v>
      </c>
      <c r="M77" s="3">
        <v>0</v>
      </c>
      <c r="N77" s="3">
        <v>6</v>
      </c>
      <c r="O77" s="3" t="s">
        <v>35</v>
      </c>
      <c r="P77" s="3" t="s">
        <v>290</v>
      </c>
      <c r="Q77" s="3">
        <v>1</v>
      </c>
      <c r="R77" s="3">
        <v>9</v>
      </c>
      <c r="S77" s="3" t="s">
        <v>70</v>
      </c>
      <c r="T77" s="3" t="s">
        <v>61</v>
      </c>
    </row>
    <row r="78" spans="1:20" x14ac:dyDescent="0.35">
      <c r="A78" s="2" t="s">
        <v>291</v>
      </c>
      <c r="B78" s="2" t="s">
        <v>292</v>
      </c>
      <c r="C78" s="2">
        <v>61</v>
      </c>
      <c r="D78" s="2" t="s">
        <v>32</v>
      </c>
      <c r="E78" s="2" t="s">
        <v>131</v>
      </c>
      <c r="F78" s="2" t="s">
        <v>117</v>
      </c>
      <c r="G78" s="2">
        <v>23.4</v>
      </c>
      <c r="H78" s="2">
        <v>119</v>
      </c>
      <c r="I78" s="2">
        <v>95</v>
      </c>
      <c r="J78" s="2">
        <v>275</v>
      </c>
      <c r="K78" s="2">
        <v>178</v>
      </c>
      <c r="L78" s="2" t="s">
        <v>35</v>
      </c>
      <c r="M78" s="2">
        <v>4</v>
      </c>
      <c r="N78" s="2">
        <v>4</v>
      </c>
      <c r="O78" s="2" t="s">
        <v>68</v>
      </c>
      <c r="P78" s="2" t="s">
        <v>293</v>
      </c>
      <c r="Q78" s="2">
        <v>13</v>
      </c>
      <c r="R78" s="2">
        <v>20</v>
      </c>
      <c r="S78" s="2" t="s">
        <v>54</v>
      </c>
      <c r="T78" s="2" t="s">
        <v>54</v>
      </c>
    </row>
    <row r="79" spans="1:20" x14ac:dyDescent="0.35">
      <c r="A79" s="3" t="s">
        <v>294</v>
      </c>
      <c r="B79" s="3" t="s">
        <v>295</v>
      </c>
      <c r="C79" s="3">
        <v>53</v>
      </c>
      <c r="D79" s="3" t="s">
        <v>32</v>
      </c>
      <c r="E79" s="3" t="s">
        <v>51</v>
      </c>
      <c r="F79" s="3" t="s">
        <v>66</v>
      </c>
      <c r="G79" s="3">
        <v>23</v>
      </c>
      <c r="H79" s="3">
        <v>118</v>
      </c>
      <c r="I79" s="3">
        <v>78</v>
      </c>
      <c r="J79" s="3">
        <v>249</v>
      </c>
      <c r="K79" s="3">
        <v>70</v>
      </c>
      <c r="L79" s="3"/>
      <c r="M79" s="3">
        <v>5</v>
      </c>
      <c r="N79" s="3">
        <v>4</v>
      </c>
      <c r="O79" s="3" t="s">
        <v>44</v>
      </c>
      <c r="P79" s="3" t="s">
        <v>296</v>
      </c>
      <c r="Q79" s="3">
        <v>2</v>
      </c>
      <c r="R79" s="3">
        <v>16</v>
      </c>
      <c r="S79" s="3" t="s">
        <v>46</v>
      </c>
      <c r="T79" s="3" t="s">
        <v>35</v>
      </c>
    </row>
    <row r="80" spans="1:20" x14ac:dyDescent="0.35">
      <c r="A80" s="2" t="s">
        <v>297</v>
      </c>
      <c r="B80" s="2" t="s">
        <v>298</v>
      </c>
      <c r="C80" s="2">
        <v>54</v>
      </c>
      <c r="D80" s="2" t="s">
        <v>32</v>
      </c>
      <c r="E80" s="2" t="s">
        <v>65</v>
      </c>
      <c r="F80" s="2" t="s">
        <v>90</v>
      </c>
      <c r="G80" s="2">
        <v>18.100000000000001</v>
      </c>
      <c r="H80" s="2">
        <v>149</v>
      </c>
      <c r="I80" s="2">
        <v>83</v>
      </c>
      <c r="J80" s="2">
        <v>204</v>
      </c>
      <c r="K80" s="2">
        <v>74</v>
      </c>
      <c r="L80" s="2" t="s">
        <v>26</v>
      </c>
      <c r="M80" s="2">
        <v>1</v>
      </c>
      <c r="N80" s="2">
        <v>6</v>
      </c>
      <c r="O80" s="2" t="s">
        <v>26</v>
      </c>
      <c r="P80" s="2" t="s">
        <v>299</v>
      </c>
      <c r="Q80" s="2">
        <v>10</v>
      </c>
      <c r="R80" s="2">
        <v>4</v>
      </c>
      <c r="S80" s="2" t="s">
        <v>99</v>
      </c>
      <c r="T80" s="2" t="s">
        <v>47</v>
      </c>
    </row>
    <row r="81" spans="1:20" x14ac:dyDescent="0.35">
      <c r="A81" s="3" t="s">
        <v>300</v>
      </c>
      <c r="B81" s="3" t="s">
        <v>301</v>
      </c>
      <c r="C81" s="3">
        <v>33</v>
      </c>
      <c r="D81" s="3" t="s">
        <v>54</v>
      </c>
      <c r="E81" s="3" t="s">
        <v>81</v>
      </c>
      <c r="F81" s="3" t="s">
        <v>24</v>
      </c>
      <c r="G81" s="3">
        <v>37.299999999999997</v>
      </c>
      <c r="H81" s="3"/>
      <c r="I81" s="3">
        <v>105</v>
      </c>
      <c r="J81" s="3">
        <v>257</v>
      </c>
      <c r="K81" s="3">
        <v>79</v>
      </c>
      <c r="L81" s="3" t="s">
        <v>29</v>
      </c>
      <c r="M81" s="3">
        <v>3</v>
      </c>
      <c r="N81" s="3">
        <v>1</v>
      </c>
      <c r="O81" s="3" t="s">
        <v>26</v>
      </c>
      <c r="P81" s="3" t="s">
        <v>302</v>
      </c>
      <c r="Q81" s="3">
        <v>16</v>
      </c>
      <c r="R81" s="3">
        <v>12</v>
      </c>
      <c r="S81" s="3" t="s">
        <v>38</v>
      </c>
      <c r="T81" s="3" t="s">
        <v>54</v>
      </c>
    </row>
    <row r="82" spans="1:20" x14ac:dyDescent="0.35">
      <c r="A82" s="2" t="s">
        <v>303</v>
      </c>
      <c r="B82" s="2" t="s">
        <v>304</v>
      </c>
      <c r="C82" s="2">
        <v>34</v>
      </c>
      <c r="D82" s="2" t="s">
        <v>41</v>
      </c>
      <c r="E82" s="2" t="s">
        <v>127</v>
      </c>
      <c r="F82" s="2" t="s">
        <v>117</v>
      </c>
      <c r="G82" s="2">
        <v>38.6</v>
      </c>
      <c r="H82" s="2">
        <v>142</v>
      </c>
      <c r="I82" s="2">
        <v>77</v>
      </c>
      <c r="J82" s="2">
        <v>171</v>
      </c>
      <c r="K82" s="2">
        <v>164</v>
      </c>
      <c r="L82" s="2" t="s">
        <v>58</v>
      </c>
      <c r="M82" s="2">
        <v>6</v>
      </c>
      <c r="N82" s="2">
        <v>8</v>
      </c>
      <c r="O82" s="2" t="s">
        <v>44</v>
      </c>
      <c r="P82" s="2" t="s">
        <v>305</v>
      </c>
      <c r="Q82" s="2">
        <v>15</v>
      </c>
      <c r="R82" s="2">
        <v>11</v>
      </c>
      <c r="S82" s="2" t="s">
        <v>38</v>
      </c>
      <c r="T82" s="2" t="s">
        <v>26</v>
      </c>
    </row>
    <row r="83" spans="1:20" x14ac:dyDescent="0.35">
      <c r="A83" s="3" t="s">
        <v>306</v>
      </c>
      <c r="B83" s="3" t="s">
        <v>307</v>
      </c>
      <c r="C83" s="3">
        <v>27</v>
      </c>
      <c r="D83" s="3" t="s">
        <v>64</v>
      </c>
      <c r="E83" s="3" t="s">
        <v>42</v>
      </c>
      <c r="F83" s="3" t="s">
        <v>24</v>
      </c>
      <c r="G83" s="3">
        <v>30.6</v>
      </c>
      <c r="H83" s="3">
        <v>141</v>
      </c>
      <c r="I83" s="3">
        <v>66</v>
      </c>
      <c r="J83" s="3">
        <v>160</v>
      </c>
      <c r="K83" s="3">
        <v>153</v>
      </c>
      <c r="L83" s="3" t="s">
        <v>29</v>
      </c>
      <c r="M83" s="3">
        <v>4</v>
      </c>
      <c r="N83" s="3">
        <v>8</v>
      </c>
      <c r="O83" s="3" t="s">
        <v>44</v>
      </c>
      <c r="P83" s="3" t="s">
        <v>308</v>
      </c>
      <c r="Q83" s="3">
        <v>11</v>
      </c>
      <c r="R83" s="3">
        <v>14</v>
      </c>
      <c r="S83" s="3" t="s">
        <v>99</v>
      </c>
      <c r="T83" s="3" t="s">
        <v>47</v>
      </c>
    </row>
    <row r="84" spans="1:20" x14ac:dyDescent="0.35">
      <c r="A84" s="2" t="s">
        <v>309</v>
      </c>
      <c r="B84" s="2" t="s">
        <v>310</v>
      </c>
      <c r="C84" s="2">
        <v>39</v>
      </c>
      <c r="D84" s="2" t="s">
        <v>32</v>
      </c>
      <c r="E84" s="2" t="s">
        <v>131</v>
      </c>
      <c r="F84" s="2" t="s">
        <v>34</v>
      </c>
      <c r="G84" s="2">
        <v>26.1</v>
      </c>
      <c r="H84" s="2">
        <v>120</v>
      </c>
      <c r="I84" s="2">
        <v>61</v>
      </c>
      <c r="J84" s="2">
        <v>176</v>
      </c>
      <c r="K84" s="2">
        <v>225</v>
      </c>
      <c r="L84" s="2" t="s">
        <v>44</v>
      </c>
      <c r="M84" s="2">
        <v>0</v>
      </c>
      <c r="N84" s="2">
        <v>3</v>
      </c>
      <c r="O84" s="2" t="s">
        <v>35</v>
      </c>
      <c r="P84" s="2" t="s">
        <v>311</v>
      </c>
      <c r="Q84" s="2">
        <v>11</v>
      </c>
      <c r="R84" s="2">
        <v>12</v>
      </c>
      <c r="S84" s="2" t="s">
        <v>54</v>
      </c>
      <c r="T84" s="2" t="s">
        <v>25</v>
      </c>
    </row>
    <row r="85" spans="1:20" x14ac:dyDescent="0.35">
      <c r="A85" s="3" t="s">
        <v>312</v>
      </c>
      <c r="B85" s="3" t="s">
        <v>313</v>
      </c>
      <c r="C85" s="3">
        <v>50</v>
      </c>
      <c r="D85" s="3" t="s">
        <v>106</v>
      </c>
      <c r="E85" s="3" t="s">
        <v>127</v>
      </c>
      <c r="F85" s="3" t="s">
        <v>90</v>
      </c>
      <c r="G85" s="3">
        <v>36.1</v>
      </c>
      <c r="H85" s="3">
        <v>117</v>
      </c>
      <c r="I85" s="3">
        <v>93</v>
      </c>
      <c r="J85" s="3">
        <v>233</v>
      </c>
      <c r="K85" s="3">
        <v>171</v>
      </c>
      <c r="L85" s="3" t="s">
        <v>26</v>
      </c>
      <c r="M85" s="3" t="s">
        <v>67</v>
      </c>
      <c r="N85" s="3">
        <v>5</v>
      </c>
      <c r="O85" s="3" t="s">
        <v>26</v>
      </c>
      <c r="P85" s="3" t="s">
        <v>314</v>
      </c>
      <c r="Q85" s="3">
        <v>5</v>
      </c>
      <c r="R85" s="3">
        <v>15</v>
      </c>
      <c r="S85" s="3" t="s">
        <v>38</v>
      </c>
      <c r="T85" s="3"/>
    </row>
    <row r="86" spans="1:20" x14ac:dyDescent="0.35">
      <c r="A86" s="2" t="s">
        <v>315</v>
      </c>
      <c r="B86" s="2" t="s">
        <v>316</v>
      </c>
      <c r="C86" s="2">
        <v>38</v>
      </c>
      <c r="D86" s="2" t="s">
        <v>41</v>
      </c>
      <c r="E86" s="2" t="s">
        <v>81</v>
      </c>
      <c r="F86" s="2" t="s">
        <v>52</v>
      </c>
      <c r="G86" s="2">
        <v>41.9</v>
      </c>
      <c r="H86" s="2">
        <v>136</v>
      </c>
      <c r="I86" s="2">
        <v>104</v>
      </c>
      <c r="J86" s="2">
        <v>265</v>
      </c>
      <c r="K86" s="2">
        <v>121</v>
      </c>
      <c r="L86" s="2" t="s">
        <v>35</v>
      </c>
      <c r="M86" s="2">
        <v>2</v>
      </c>
      <c r="N86" s="2">
        <v>2</v>
      </c>
      <c r="O86" s="2" t="s">
        <v>76</v>
      </c>
      <c r="P86" s="2" t="s">
        <v>308</v>
      </c>
      <c r="Q86" s="2">
        <v>2</v>
      </c>
      <c r="R86" s="2">
        <v>10</v>
      </c>
      <c r="S86" s="2"/>
      <c r="T86" s="2" t="s">
        <v>47</v>
      </c>
    </row>
    <row r="87" spans="1:20" x14ac:dyDescent="0.35">
      <c r="A87" s="3" t="s">
        <v>317</v>
      </c>
      <c r="B87" s="3" t="s">
        <v>110</v>
      </c>
      <c r="C87" s="3">
        <v>56</v>
      </c>
      <c r="D87" s="3" t="s">
        <v>41</v>
      </c>
      <c r="E87" s="3" t="s">
        <v>74</v>
      </c>
      <c r="F87" s="3" t="s">
        <v>24</v>
      </c>
      <c r="G87" s="3">
        <v>34.799999999999997</v>
      </c>
      <c r="H87" s="3">
        <v>122</v>
      </c>
      <c r="I87" s="3">
        <v>83</v>
      </c>
      <c r="J87" s="3">
        <v>270</v>
      </c>
      <c r="K87" s="3">
        <v>127</v>
      </c>
      <c r="L87" s="3" t="s">
        <v>35</v>
      </c>
      <c r="M87" s="3">
        <v>3</v>
      </c>
      <c r="N87" s="3">
        <v>3</v>
      </c>
      <c r="O87" s="3" t="s">
        <v>26</v>
      </c>
      <c r="P87" s="3" t="s">
        <v>318</v>
      </c>
      <c r="Q87" s="3">
        <v>17</v>
      </c>
      <c r="R87" s="3">
        <v>18</v>
      </c>
      <c r="S87" s="3" t="s">
        <v>46</v>
      </c>
      <c r="T87" s="3" t="s">
        <v>54</v>
      </c>
    </row>
    <row r="88" spans="1:20" x14ac:dyDescent="0.35">
      <c r="A88" s="2" t="s">
        <v>319</v>
      </c>
      <c r="B88" s="2" t="s">
        <v>113</v>
      </c>
      <c r="C88" s="2">
        <v>61</v>
      </c>
      <c r="D88" s="2" t="s">
        <v>73</v>
      </c>
      <c r="E88" s="2" t="s">
        <v>131</v>
      </c>
      <c r="F88" s="2" t="s">
        <v>57</v>
      </c>
      <c r="G88" s="2">
        <v>27</v>
      </c>
      <c r="H88" s="2">
        <v>161</v>
      </c>
      <c r="I88" s="2">
        <v>93</v>
      </c>
      <c r="J88" s="2">
        <v>245</v>
      </c>
      <c r="K88" s="2">
        <v>174</v>
      </c>
      <c r="L88" s="2"/>
      <c r="M88" s="2">
        <v>1</v>
      </c>
      <c r="N88" s="2">
        <v>3</v>
      </c>
      <c r="O88" s="2" t="s">
        <v>36</v>
      </c>
      <c r="P88" s="2" t="s">
        <v>320</v>
      </c>
      <c r="Q88" s="2">
        <v>16</v>
      </c>
      <c r="R88" s="2">
        <v>11</v>
      </c>
      <c r="S88" s="2" t="s">
        <v>60</v>
      </c>
      <c r="T88" s="2" t="s">
        <v>100</v>
      </c>
    </row>
    <row r="89" spans="1:20" x14ac:dyDescent="0.35">
      <c r="A89" s="3" t="s">
        <v>321</v>
      </c>
      <c r="B89" s="3" t="s">
        <v>322</v>
      </c>
      <c r="C89" s="3">
        <v>30</v>
      </c>
      <c r="D89" s="3" t="s">
        <v>64</v>
      </c>
      <c r="E89" s="3" t="s">
        <v>51</v>
      </c>
      <c r="F89" s="3" t="s">
        <v>117</v>
      </c>
      <c r="G89" s="3">
        <v>37.799999999999997</v>
      </c>
      <c r="H89" s="3">
        <v>166</v>
      </c>
      <c r="I89" s="3">
        <v>69</v>
      </c>
      <c r="J89" s="3">
        <v>217</v>
      </c>
      <c r="K89" s="3">
        <v>112</v>
      </c>
      <c r="L89" s="3" t="s">
        <v>107</v>
      </c>
      <c r="M89" s="3">
        <v>5</v>
      </c>
      <c r="N89" s="3">
        <v>4</v>
      </c>
      <c r="O89" s="3" t="s">
        <v>36</v>
      </c>
      <c r="P89" s="3" t="s">
        <v>323</v>
      </c>
      <c r="Q89" s="3">
        <v>6</v>
      </c>
      <c r="R89" s="3">
        <v>20</v>
      </c>
      <c r="S89" s="3" t="s">
        <v>38</v>
      </c>
      <c r="T89" s="3" t="s">
        <v>26</v>
      </c>
    </row>
    <row r="90" spans="1:20" x14ac:dyDescent="0.35">
      <c r="A90" s="2" t="s">
        <v>324</v>
      </c>
      <c r="B90" s="2" t="s">
        <v>197</v>
      </c>
      <c r="C90" s="2">
        <v>61</v>
      </c>
      <c r="D90" s="2" t="s">
        <v>73</v>
      </c>
      <c r="E90" s="2" t="s">
        <v>51</v>
      </c>
      <c r="F90" s="2" t="s">
        <v>24</v>
      </c>
      <c r="G90" s="2">
        <v>31.8</v>
      </c>
      <c r="H90" s="2">
        <v>119</v>
      </c>
      <c r="I90" s="2">
        <v>70</v>
      </c>
      <c r="J90" s="2">
        <v>226</v>
      </c>
      <c r="K90" s="2">
        <v>214</v>
      </c>
      <c r="L90" s="2" t="s">
        <v>25</v>
      </c>
      <c r="M90" s="2">
        <v>0</v>
      </c>
      <c r="N90" s="2">
        <v>2</v>
      </c>
      <c r="O90" s="2" t="s">
        <v>25</v>
      </c>
      <c r="P90" s="2" t="s">
        <v>325</v>
      </c>
      <c r="Q90" s="2">
        <v>18</v>
      </c>
      <c r="R90" s="2">
        <v>13</v>
      </c>
      <c r="S90" s="2" t="s">
        <v>54</v>
      </c>
      <c r="T90" s="2" t="s">
        <v>25</v>
      </c>
    </row>
    <row r="91" spans="1:20" x14ac:dyDescent="0.35">
      <c r="A91" s="3" t="s">
        <v>326</v>
      </c>
      <c r="B91" s="3" t="s">
        <v>327</v>
      </c>
      <c r="C91" s="3">
        <v>40</v>
      </c>
      <c r="D91" s="3" t="s">
        <v>41</v>
      </c>
      <c r="E91" s="3" t="s">
        <v>81</v>
      </c>
      <c r="F91" s="3" t="s">
        <v>52</v>
      </c>
      <c r="G91" s="3">
        <v>999</v>
      </c>
      <c r="H91" s="3">
        <v>151</v>
      </c>
      <c r="I91" s="3">
        <v>79</v>
      </c>
      <c r="J91" s="3">
        <v>256</v>
      </c>
      <c r="K91" s="3">
        <v>88</v>
      </c>
      <c r="L91" s="3" t="s">
        <v>25</v>
      </c>
      <c r="M91" s="3">
        <v>2</v>
      </c>
      <c r="N91" s="3"/>
      <c r="O91" s="3" t="s">
        <v>44</v>
      </c>
      <c r="P91" s="3" t="s">
        <v>328</v>
      </c>
      <c r="Q91" s="3">
        <v>19</v>
      </c>
      <c r="R91" s="3">
        <v>4</v>
      </c>
      <c r="S91" s="3" t="s">
        <v>46</v>
      </c>
      <c r="T91" s="3" t="s">
        <v>47</v>
      </c>
    </row>
    <row r="92" spans="1:20" x14ac:dyDescent="0.35">
      <c r="A92" s="2" t="s">
        <v>329</v>
      </c>
      <c r="B92" s="2" t="s">
        <v>330</v>
      </c>
      <c r="C92" s="2">
        <v>30</v>
      </c>
      <c r="D92" s="2" t="s">
        <v>106</v>
      </c>
      <c r="E92" s="2" t="s">
        <v>51</v>
      </c>
      <c r="F92" s="2" t="s">
        <v>75</v>
      </c>
      <c r="G92" s="2">
        <v>19.7</v>
      </c>
      <c r="H92" s="2">
        <v>130</v>
      </c>
      <c r="I92" s="2">
        <v>89</v>
      </c>
      <c r="J92" s="2">
        <v>171</v>
      </c>
      <c r="K92" s="2">
        <v>138</v>
      </c>
      <c r="L92" s="2" t="s">
        <v>44</v>
      </c>
      <c r="M92" s="2">
        <v>3</v>
      </c>
      <c r="N92" s="2">
        <v>3</v>
      </c>
      <c r="O92" s="2" t="s">
        <v>35</v>
      </c>
      <c r="P92" s="2" t="s">
        <v>331</v>
      </c>
      <c r="Q92" s="2">
        <v>19</v>
      </c>
      <c r="R92" s="2">
        <v>13</v>
      </c>
      <c r="S92" s="2" t="s">
        <v>78</v>
      </c>
      <c r="T92" s="2" t="s">
        <v>61</v>
      </c>
    </row>
    <row r="93" spans="1:20" x14ac:dyDescent="0.35">
      <c r="A93" s="3" t="s">
        <v>332</v>
      </c>
      <c r="B93" s="3" t="s">
        <v>333</v>
      </c>
      <c r="C93" s="3">
        <v>42</v>
      </c>
      <c r="D93" s="3" t="s">
        <v>22</v>
      </c>
      <c r="E93" s="3" t="s">
        <v>33</v>
      </c>
      <c r="F93" s="3" t="s">
        <v>90</v>
      </c>
      <c r="G93" s="3">
        <v>41.9</v>
      </c>
      <c r="H93" s="3">
        <v>159</v>
      </c>
      <c r="I93" s="3">
        <v>91</v>
      </c>
      <c r="J93" s="3">
        <v>218</v>
      </c>
      <c r="K93" s="3">
        <v>197</v>
      </c>
      <c r="L93" s="3" t="s">
        <v>25</v>
      </c>
      <c r="M93" s="3">
        <v>1</v>
      </c>
      <c r="N93" s="3">
        <v>7</v>
      </c>
      <c r="O93" s="3" t="s">
        <v>76</v>
      </c>
      <c r="P93" s="3" t="s">
        <v>334</v>
      </c>
      <c r="Q93" s="3">
        <v>11</v>
      </c>
      <c r="R93" s="3">
        <v>1</v>
      </c>
      <c r="S93" s="3" t="s">
        <v>99</v>
      </c>
      <c r="T93" s="3" t="s">
        <v>26</v>
      </c>
    </row>
    <row r="94" spans="1:20" x14ac:dyDescent="0.35">
      <c r="A94" s="2" t="s">
        <v>335</v>
      </c>
      <c r="B94" s="2" t="s">
        <v>336</v>
      </c>
      <c r="C94" s="2">
        <v>52</v>
      </c>
      <c r="D94" s="2" t="s">
        <v>41</v>
      </c>
      <c r="E94" s="2" t="s">
        <v>51</v>
      </c>
      <c r="F94" s="2" t="s">
        <v>117</v>
      </c>
      <c r="G94" s="2">
        <v>38.200000000000003</v>
      </c>
      <c r="H94" s="2">
        <v>155</v>
      </c>
      <c r="I94" s="2">
        <v>68</v>
      </c>
      <c r="J94" s="2">
        <v>207</v>
      </c>
      <c r="K94" s="2">
        <v>163</v>
      </c>
      <c r="L94" s="2" t="s">
        <v>58</v>
      </c>
      <c r="M94" s="2">
        <v>5</v>
      </c>
      <c r="N94" s="2">
        <v>1</v>
      </c>
      <c r="O94" s="2" t="s">
        <v>44</v>
      </c>
      <c r="P94" s="2" t="s">
        <v>227</v>
      </c>
      <c r="Q94" s="2">
        <v>6</v>
      </c>
      <c r="R94" s="2">
        <v>11</v>
      </c>
      <c r="S94" s="2" t="s">
        <v>38</v>
      </c>
      <c r="T94" s="2" t="s">
        <v>26</v>
      </c>
    </row>
    <row r="95" spans="1:20" x14ac:dyDescent="0.35">
      <c r="A95" s="3" t="s">
        <v>337</v>
      </c>
      <c r="B95" s="3" t="s">
        <v>338</v>
      </c>
      <c r="C95" s="3">
        <v>54</v>
      </c>
      <c r="D95" s="3" t="s">
        <v>54</v>
      </c>
      <c r="E95" s="3" t="s">
        <v>51</v>
      </c>
      <c r="F95" s="3" t="s">
        <v>57</v>
      </c>
      <c r="G95" s="3">
        <v>37.6</v>
      </c>
      <c r="H95" s="3">
        <v>115</v>
      </c>
      <c r="I95" s="3">
        <v>68</v>
      </c>
      <c r="J95" s="3">
        <v>164</v>
      </c>
      <c r="K95" s="3">
        <v>170</v>
      </c>
      <c r="L95" s="3" t="s">
        <v>26</v>
      </c>
      <c r="M95" s="3">
        <v>5</v>
      </c>
      <c r="N95" s="3">
        <v>9</v>
      </c>
      <c r="O95" s="3" t="s">
        <v>36</v>
      </c>
      <c r="P95" s="3" t="s">
        <v>339</v>
      </c>
      <c r="Q95" s="3">
        <v>16</v>
      </c>
      <c r="R95" s="3">
        <v>12</v>
      </c>
      <c r="S95" s="3" t="s">
        <v>38</v>
      </c>
      <c r="T95" s="3" t="s">
        <v>25</v>
      </c>
    </row>
    <row r="96" spans="1:20" x14ac:dyDescent="0.35">
      <c r="A96" s="2" t="s">
        <v>340</v>
      </c>
      <c r="B96" s="2" t="s">
        <v>341</v>
      </c>
      <c r="C96" s="2">
        <v>30</v>
      </c>
      <c r="D96" s="2" t="s">
        <v>106</v>
      </c>
      <c r="E96" s="2" t="s">
        <v>81</v>
      </c>
      <c r="F96" s="2" t="s">
        <v>75</v>
      </c>
      <c r="G96" s="2">
        <v>28.4</v>
      </c>
      <c r="H96" s="2">
        <v>165</v>
      </c>
      <c r="I96" s="2">
        <v>68</v>
      </c>
      <c r="J96" s="2">
        <v>223</v>
      </c>
      <c r="K96" s="2">
        <v>226</v>
      </c>
      <c r="L96" s="2" t="s">
        <v>26</v>
      </c>
      <c r="M96" s="2">
        <v>2</v>
      </c>
      <c r="N96" s="2">
        <v>7</v>
      </c>
      <c r="O96" s="2" t="s">
        <v>68</v>
      </c>
      <c r="P96" s="2" t="s">
        <v>342</v>
      </c>
      <c r="Q96" s="2">
        <v>16</v>
      </c>
      <c r="R96" s="2">
        <v>17</v>
      </c>
      <c r="S96" s="2" t="s">
        <v>70</v>
      </c>
      <c r="T96" s="2" t="s">
        <v>26</v>
      </c>
    </row>
    <row r="97" spans="1:20" x14ac:dyDescent="0.35">
      <c r="A97" s="3" t="s">
        <v>343</v>
      </c>
      <c r="B97" s="3" t="s">
        <v>344</v>
      </c>
      <c r="C97" s="3">
        <v>45</v>
      </c>
      <c r="D97" s="3" t="s">
        <v>106</v>
      </c>
      <c r="E97" s="3" t="s">
        <v>131</v>
      </c>
      <c r="F97" s="3" t="s">
        <v>34</v>
      </c>
      <c r="G97" s="3">
        <v>31.6</v>
      </c>
      <c r="H97" s="3">
        <v>103</v>
      </c>
      <c r="I97" s="3">
        <v>98</v>
      </c>
      <c r="J97" s="3">
        <v>261</v>
      </c>
      <c r="K97" s="3">
        <v>137</v>
      </c>
      <c r="L97" s="3"/>
      <c r="M97" s="3" t="s">
        <v>54</v>
      </c>
      <c r="N97" s="3">
        <v>4</v>
      </c>
      <c r="O97" s="3" t="s">
        <v>25</v>
      </c>
      <c r="P97" s="3" t="s">
        <v>345</v>
      </c>
      <c r="Q97" s="3">
        <v>20</v>
      </c>
      <c r="R97" s="3">
        <v>19</v>
      </c>
      <c r="S97" s="3" t="s">
        <v>28</v>
      </c>
      <c r="T97" s="3" t="s">
        <v>61</v>
      </c>
    </row>
    <row r="98" spans="1:20" x14ac:dyDescent="0.35">
      <c r="A98" s="2" t="s">
        <v>346</v>
      </c>
      <c r="B98" s="2" t="s">
        <v>347</v>
      </c>
      <c r="C98" s="2">
        <v>58</v>
      </c>
      <c r="D98" s="2" t="s">
        <v>73</v>
      </c>
      <c r="E98" s="2" t="s">
        <v>23</v>
      </c>
      <c r="F98" s="2" t="s">
        <v>117</v>
      </c>
      <c r="G98" s="2">
        <v>28</v>
      </c>
      <c r="H98" s="2">
        <v>153</v>
      </c>
      <c r="I98" s="2">
        <v>69</v>
      </c>
      <c r="J98" s="2">
        <v>245</v>
      </c>
      <c r="K98" s="2">
        <v>246</v>
      </c>
      <c r="L98" s="2" t="s">
        <v>86</v>
      </c>
      <c r="M98" s="2">
        <v>6</v>
      </c>
      <c r="N98" s="2">
        <v>9</v>
      </c>
      <c r="O98" s="2" t="s">
        <v>76</v>
      </c>
      <c r="P98" s="2" t="s">
        <v>348</v>
      </c>
      <c r="Q98" s="2">
        <v>16</v>
      </c>
      <c r="R98" s="2">
        <v>6</v>
      </c>
      <c r="S98" s="2" t="s">
        <v>38</v>
      </c>
      <c r="T98" s="2" t="s">
        <v>47</v>
      </c>
    </row>
    <row r="99" spans="1:20" x14ac:dyDescent="0.35">
      <c r="A99" s="3" t="s">
        <v>349</v>
      </c>
      <c r="B99" s="3" t="s">
        <v>350</v>
      </c>
      <c r="C99" s="3">
        <v>46</v>
      </c>
      <c r="D99" s="3" t="s">
        <v>106</v>
      </c>
      <c r="E99" s="3" t="s">
        <v>33</v>
      </c>
      <c r="F99" s="3" t="s">
        <v>90</v>
      </c>
      <c r="G99" s="3">
        <v>39.799999999999997</v>
      </c>
      <c r="H99" s="3">
        <v>143</v>
      </c>
      <c r="I99" s="3">
        <v>94</v>
      </c>
      <c r="J99" s="3">
        <v>230</v>
      </c>
      <c r="K99" s="3">
        <v>243</v>
      </c>
      <c r="L99" s="3" t="s">
        <v>29</v>
      </c>
      <c r="M99" s="3" t="s">
        <v>54</v>
      </c>
      <c r="N99" s="3">
        <v>8</v>
      </c>
      <c r="O99" s="3" t="s">
        <v>26</v>
      </c>
      <c r="P99" s="3" t="s">
        <v>351</v>
      </c>
      <c r="Q99" s="3">
        <v>9</v>
      </c>
      <c r="R99" s="3">
        <v>7</v>
      </c>
      <c r="S99" s="3" t="s">
        <v>166</v>
      </c>
      <c r="T99" s="3" t="s">
        <v>26</v>
      </c>
    </row>
    <row r="100" spans="1:20" x14ac:dyDescent="0.35">
      <c r="A100" s="2" t="s">
        <v>352</v>
      </c>
      <c r="B100" s="2" t="s">
        <v>56</v>
      </c>
      <c r="C100" s="2">
        <v>42</v>
      </c>
      <c r="D100" s="2" t="s">
        <v>54</v>
      </c>
      <c r="E100" s="2" t="s">
        <v>127</v>
      </c>
      <c r="F100" s="2" t="s">
        <v>75</v>
      </c>
      <c r="G100" s="2">
        <v>40.299999999999997</v>
      </c>
      <c r="H100" s="2">
        <v>135</v>
      </c>
      <c r="I100" s="2">
        <v>78</v>
      </c>
      <c r="J100" s="2">
        <v>171</v>
      </c>
      <c r="K100" s="2">
        <v>216</v>
      </c>
      <c r="L100" s="2" t="s">
        <v>76</v>
      </c>
      <c r="M100" s="2">
        <v>6</v>
      </c>
      <c r="N100" s="2">
        <v>7</v>
      </c>
      <c r="O100" s="2" t="s">
        <v>36</v>
      </c>
      <c r="P100" s="2" t="s">
        <v>353</v>
      </c>
      <c r="Q100" s="2">
        <v>9</v>
      </c>
      <c r="R100" s="2">
        <v>2</v>
      </c>
      <c r="S100" s="2" t="s">
        <v>46</v>
      </c>
      <c r="T100" s="2" t="s">
        <v>54</v>
      </c>
    </row>
    <row r="101" spans="1:20" x14ac:dyDescent="0.35">
      <c r="A101" s="3" t="s">
        <v>352</v>
      </c>
      <c r="B101" s="3" t="s">
        <v>89</v>
      </c>
      <c r="C101" s="3">
        <v>35</v>
      </c>
      <c r="D101" s="3" t="s">
        <v>22</v>
      </c>
      <c r="E101" s="3" t="s">
        <v>51</v>
      </c>
      <c r="F101" s="3" t="s">
        <v>57</v>
      </c>
      <c r="G101" s="3">
        <v>40.299999999999997</v>
      </c>
      <c r="H101" s="3">
        <v>134</v>
      </c>
      <c r="I101" s="3">
        <v>68</v>
      </c>
      <c r="J101" s="3">
        <v>167</v>
      </c>
      <c r="K101" s="3">
        <v>227</v>
      </c>
      <c r="L101" s="3"/>
      <c r="M101" s="3">
        <v>3</v>
      </c>
      <c r="N101" s="3">
        <v>4</v>
      </c>
      <c r="O101" s="3" t="s">
        <v>25</v>
      </c>
      <c r="P101" s="3" t="s">
        <v>354</v>
      </c>
      <c r="Q101" s="3">
        <v>1</v>
      </c>
      <c r="R101" s="3">
        <v>3</v>
      </c>
      <c r="S101" s="3" t="s">
        <v>28</v>
      </c>
      <c r="T101" s="3" t="s">
        <v>47</v>
      </c>
    </row>
    <row r="102" spans="1:20" x14ac:dyDescent="0.35">
      <c r="A102" s="2" t="s">
        <v>355</v>
      </c>
      <c r="B102" s="2" t="s">
        <v>356</v>
      </c>
      <c r="C102" s="2">
        <v>30</v>
      </c>
      <c r="D102" s="2" t="s">
        <v>32</v>
      </c>
      <c r="E102" s="2" t="s">
        <v>51</v>
      </c>
      <c r="F102" s="2" t="s">
        <v>24</v>
      </c>
      <c r="G102" s="2">
        <v>27.2</v>
      </c>
      <c r="H102" s="2">
        <v>160</v>
      </c>
      <c r="I102" s="2">
        <v>90</v>
      </c>
      <c r="J102" s="2">
        <v>191</v>
      </c>
      <c r="K102" s="2">
        <v>143</v>
      </c>
      <c r="L102" s="2" t="s">
        <v>26</v>
      </c>
      <c r="M102" s="2">
        <v>4</v>
      </c>
      <c r="N102" s="2">
        <v>1</v>
      </c>
      <c r="O102" s="2" t="s">
        <v>35</v>
      </c>
      <c r="P102" s="2" t="s">
        <v>357</v>
      </c>
      <c r="Q102" s="2">
        <v>1</v>
      </c>
      <c r="R102" s="2">
        <v>5</v>
      </c>
      <c r="S102" s="2" t="s">
        <v>28</v>
      </c>
      <c r="T102" s="2" t="s">
        <v>61</v>
      </c>
    </row>
    <row r="103" spans="1:20" x14ac:dyDescent="0.35">
      <c r="A103" s="3" t="s">
        <v>358</v>
      </c>
      <c r="B103" s="3" t="s">
        <v>359</v>
      </c>
      <c r="C103" s="3">
        <v>53</v>
      </c>
      <c r="D103" s="3" t="s">
        <v>50</v>
      </c>
      <c r="E103" s="3" t="s">
        <v>74</v>
      </c>
      <c r="F103" s="3" t="s">
        <v>117</v>
      </c>
      <c r="G103" s="3">
        <v>17.2</v>
      </c>
      <c r="H103" s="3">
        <v>113</v>
      </c>
      <c r="I103" s="3">
        <v>81</v>
      </c>
      <c r="J103" s="3">
        <v>212</v>
      </c>
      <c r="K103" s="3">
        <v>186</v>
      </c>
      <c r="L103" s="3" t="s">
        <v>76</v>
      </c>
      <c r="M103" s="3"/>
      <c r="N103" s="3">
        <v>8</v>
      </c>
      <c r="O103" s="3" t="s">
        <v>29</v>
      </c>
      <c r="P103" s="3" t="s">
        <v>360</v>
      </c>
      <c r="Q103" s="3">
        <v>3</v>
      </c>
      <c r="R103" s="3">
        <v>10</v>
      </c>
      <c r="S103" s="3" t="s">
        <v>60</v>
      </c>
      <c r="T103" s="3" t="s">
        <v>54</v>
      </c>
    </row>
    <row r="104" spans="1:20" x14ac:dyDescent="0.35">
      <c r="A104" s="2" t="s">
        <v>361</v>
      </c>
      <c r="B104" s="2" t="s">
        <v>192</v>
      </c>
      <c r="C104" s="2">
        <v>22</v>
      </c>
      <c r="D104" s="2" t="s">
        <v>106</v>
      </c>
      <c r="E104" s="2" t="s">
        <v>74</v>
      </c>
      <c r="F104" s="2" t="s">
        <v>66</v>
      </c>
      <c r="G104" s="2">
        <v>33.9</v>
      </c>
      <c r="H104" s="2">
        <v>124</v>
      </c>
      <c r="I104" s="2">
        <v>71</v>
      </c>
      <c r="J104" s="2">
        <v>243</v>
      </c>
      <c r="K104" s="2">
        <v>179</v>
      </c>
      <c r="L104" s="2" t="s">
        <v>76</v>
      </c>
      <c r="M104" s="2">
        <v>5</v>
      </c>
      <c r="N104" s="2">
        <v>2</v>
      </c>
      <c r="O104" s="2" t="s">
        <v>44</v>
      </c>
      <c r="P104" s="2" t="s">
        <v>178</v>
      </c>
      <c r="Q104" s="2">
        <v>15</v>
      </c>
      <c r="R104" s="2">
        <v>10</v>
      </c>
      <c r="S104" s="2" t="s">
        <v>78</v>
      </c>
      <c r="T104" s="2" t="s">
        <v>25</v>
      </c>
    </row>
    <row r="105" spans="1:20" x14ac:dyDescent="0.35">
      <c r="A105" s="3" t="s">
        <v>362</v>
      </c>
      <c r="B105" s="3" t="s">
        <v>363</v>
      </c>
      <c r="C105" s="3">
        <v>37</v>
      </c>
      <c r="D105" s="3" t="s">
        <v>54</v>
      </c>
      <c r="E105" s="3" t="s">
        <v>74</v>
      </c>
      <c r="F105" s="3" t="s">
        <v>43</v>
      </c>
      <c r="G105" s="3">
        <v>24.5</v>
      </c>
      <c r="H105" s="3">
        <v>101</v>
      </c>
      <c r="I105" s="3">
        <v>76</v>
      </c>
      <c r="J105" s="3">
        <v>232</v>
      </c>
      <c r="K105" s="3">
        <v>247</v>
      </c>
      <c r="L105" s="3" t="s">
        <v>86</v>
      </c>
      <c r="M105" s="3">
        <v>0</v>
      </c>
      <c r="N105" s="3">
        <v>2</v>
      </c>
      <c r="O105" s="3" t="s">
        <v>76</v>
      </c>
      <c r="P105" s="3" t="s">
        <v>364</v>
      </c>
      <c r="Q105" s="3">
        <v>16</v>
      </c>
      <c r="R105" s="3">
        <v>9</v>
      </c>
      <c r="S105" s="3" t="s">
        <v>92</v>
      </c>
      <c r="T105" s="3" t="s">
        <v>26</v>
      </c>
    </row>
    <row r="106" spans="1:20" x14ac:dyDescent="0.35">
      <c r="A106" s="2" t="s">
        <v>365</v>
      </c>
      <c r="B106" s="2" t="s">
        <v>366</v>
      </c>
      <c r="C106" s="2">
        <v>36</v>
      </c>
      <c r="D106" s="2" t="s">
        <v>22</v>
      </c>
      <c r="E106" s="2" t="s">
        <v>33</v>
      </c>
      <c r="F106" s="2" t="s">
        <v>90</v>
      </c>
      <c r="G106" s="2">
        <v>20.8</v>
      </c>
      <c r="H106" s="2">
        <v>147</v>
      </c>
      <c r="I106" s="2">
        <v>86</v>
      </c>
      <c r="J106" s="2">
        <v>280</v>
      </c>
      <c r="K106" s="2">
        <v>190</v>
      </c>
      <c r="L106" s="2" t="s">
        <v>76</v>
      </c>
      <c r="M106" s="2" t="s">
        <v>67</v>
      </c>
      <c r="N106" s="2">
        <v>4</v>
      </c>
      <c r="O106" s="2" t="s">
        <v>26</v>
      </c>
      <c r="P106" s="2" t="s">
        <v>367</v>
      </c>
      <c r="Q106" s="2">
        <v>16</v>
      </c>
      <c r="R106" s="2">
        <v>11</v>
      </c>
      <c r="S106" s="2" t="s">
        <v>92</v>
      </c>
      <c r="T106" s="2" t="s">
        <v>35</v>
      </c>
    </row>
    <row r="107" spans="1:20" x14ac:dyDescent="0.35">
      <c r="A107" s="3" t="s">
        <v>368</v>
      </c>
      <c r="B107" s="3" t="s">
        <v>369</v>
      </c>
      <c r="C107" s="3">
        <v>54</v>
      </c>
      <c r="D107" s="3" t="s">
        <v>22</v>
      </c>
      <c r="E107" s="3" t="s">
        <v>42</v>
      </c>
      <c r="F107" s="3" t="s">
        <v>75</v>
      </c>
      <c r="G107" s="3">
        <v>20.7</v>
      </c>
      <c r="H107" s="3">
        <v>141</v>
      </c>
      <c r="I107" s="3">
        <v>93</v>
      </c>
      <c r="J107" s="3">
        <v>253</v>
      </c>
      <c r="K107" s="3">
        <v>99</v>
      </c>
      <c r="L107" s="3" t="s">
        <v>86</v>
      </c>
      <c r="M107" s="3" t="s">
        <v>54</v>
      </c>
      <c r="N107" s="3">
        <v>8</v>
      </c>
      <c r="O107" s="3" t="s">
        <v>35</v>
      </c>
      <c r="P107" s="3" t="s">
        <v>370</v>
      </c>
      <c r="Q107" s="3">
        <v>4</v>
      </c>
      <c r="R107" s="3">
        <v>16</v>
      </c>
      <c r="S107" s="3" t="s">
        <v>28</v>
      </c>
      <c r="T107" s="3" t="s">
        <v>54</v>
      </c>
    </row>
    <row r="108" spans="1:20" x14ac:dyDescent="0.35">
      <c r="A108" s="2" t="s">
        <v>371</v>
      </c>
      <c r="B108" s="2" t="s">
        <v>372</v>
      </c>
      <c r="C108" s="2">
        <v>57</v>
      </c>
      <c r="D108" s="2" t="s">
        <v>54</v>
      </c>
      <c r="E108" s="2" t="s">
        <v>74</v>
      </c>
      <c r="F108" s="2" t="s">
        <v>117</v>
      </c>
      <c r="G108" s="2">
        <v>26.9</v>
      </c>
      <c r="H108" s="2">
        <v>100</v>
      </c>
      <c r="I108" s="2">
        <v>73</v>
      </c>
      <c r="J108" s="2">
        <v>158</v>
      </c>
      <c r="K108" s="2">
        <v>81</v>
      </c>
      <c r="L108" s="2" t="s">
        <v>58</v>
      </c>
      <c r="M108" s="2">
        <v>5</v>
      </c>
      <c r="N108" s="2">
        <v>2</v>
      </c>
      <c r="O108" s="2" t="s">
        <v>25</v>
      </c>
      <c r="P108" s="2" t="s">
        <v>373</v>
      </c>
      <c r="Q108" s="2">
        <v>9</v>
      </c>
      <c r="R108" s="2">
        <v>13</v>
      </c>
      <c r="S108" s="2" t="s">
        <v>60</v>
      </c>
      <c r="T108" s="2" t="s">
        <v>61</v>
      </c>
    </row>
    <row r="109" spans="1:20" x14ac:dyDescent="0.35">
      <c r="A109" s="3" t="s">
        <v>374</v>
      </c>
      <c r="B109" s="3" t="s">
        <v>160</v>
      </c>
      <c r="C109" s="3">
        <v>46</v>
      </c>
      <c r="D109" s="3" t="s">
        <v>54</v>
      </c>
      <c r="E109" s="3" t="s">
        <v>65</v>
      </c>
      <c r="F109" s="3" t="s">
        <v>34</v>
      </c>
      <c r="G109" s="3">
        <v>19</v>
      </c>
      <c r="H109" s="3">
        <v>169</v>
      </c>
      <c r="I109" s="3">
        <v>68</v>
      </c>
      <c r="J109" s="3">
        <v>229</v>
      </c>
      <c r="K109" s="3">
        <v>100</v>
      </c>
      <c r="L109" s="3" t="s">
        <v>107</v>
      </c>
      <c r="M109" s="3"/>
      <c r="N109" s="3">
        <v>7</v>
      </c>
      <c r="O109" s="3" t="s">
        <v>29</v>
      </c>
      <c r="P109" s="3" t="s">
        <v>375</v>
      </c>
      <c r="Q109" s="3">
        <v>0</v>
      </c>
      <c r="R109" s="3">
        <v>9</v>
      </c>
      <c r="S109" s="3" t="s">
        <v>70</v>
      </c>
      <c r="T109" s="3" t="s">
        <v>100</v>
      </c>
    </row>
    <row r="110" spans="1:20" x14ac:dyDescent="0.35">
      <c r="A110" s="2" t="s">
        <v>376</v>
      </c>
      <c r="B110" s="2" t="s">
        <v>377</v>
      </c>
      <c r="C110" s="2">
        <v>46</v>
      </c>
      <c r="D110" s="2" t="s">
        <v>22</v>
      </c>
      <c r="E110" s="2" t="s">
        <v>23</v>
      </c>
      <c r="F110" s="2" t="s">
        <v>90</v>
      </c>
      <c r="G110" s="2">
        <v>25.7</v>
      </c>
      <c r="H110" s="2">
        <v>135</v>
      </c>
      <c r="I110" s="2">
        <v>72</v>
      </c>
      <c r="J110" s="2">
        <v>168</v>
      </c>
      <c r="K110" s="2">
        <v>78</v>
      </c>
      <c r="L110" s="2" t="s">
        <v>58</v>
      </c>
      <c r="M110" s="2" t="s">
        <v>54</v>
      </c>
      <c r="N110" s="2">
        <v>1</v>
      </c>
      <c r="O110" s="2" t="s">
        <v>26</v>
      </c>
      <c r="P110" s="2" t="s">
        <v>378</v>
      </c>
      <c r="Q110" s="2">
        <v>19</v>
      </c>
      <c r="R110" s="2">
        <v>1</v>
      </c>
      <c r="S110" s="2" t="s">
        <v>70</v>
      </c>
      <c r="T110" s="2" t="s">
        <v>25</v>
      </c>
    </row>
    <row r="111" spans="1:20" x14ac:dyDescent="0.35">
      <c r="A111" s="3" t="s">
        <v>379</v>
      </c>
      <c r="B111" s="3" t="s">
        <v>347</v>
      </c>
      <c r="C111" s="3">
        <v>47</v>
      </c>
      <c r="D111" s="3" t="s">
        <v>54</v>
      </c>
      <c r="E111" s="3" t="s">
        <v>23</v>
      </c>
      <c r="F111" s="3" t="s">
        <v>75</v>
      </c>
      <c r="G111" s="3">
        <v>22.4</v>
      </c>
      <c r="H111" s="3">
        <v>107</v>
      </c>
      <c r="I111" s="3">
        <v>68</v>
      </c>
      <c r="J111" s="3"/>
      <c r="K111" s="3">
        <v>144</v>
      </c>
      <c r="L111" s="3" t="s">
        <v>86</v>
      </c>
      <c r="M111" s="3" t="s">
        <v>54</v>
      </c>
      <c r="N111" s="3">
        <v>6</v>
      </c>
      <c r="O111" s="3" t="s">
        <v>36</v>
      </c>
      <c r="P111" s="3" t="s">
        <v>380</v>
      </c>
      <c r="Q111" s="3">
        <v>16</v>
      </c>
      <c r="R111" s="3">
        <v>7</v>
      </c>
      <c r="S111" s="3" t="s">
        <v>28</v>
      </c>
      <c r="T111" s="3" t="s">
        <v>26</v>
      </c>
    </row>
    <row r="112" spans="1:20" x14ac:dyDescent="0.35">
      <c r="A112" s="2" t="s">
        <v>381</v>
      </c>
      <c r="B112" s="2" t="s">
        <v>304</v>
      </c>
      <c r="C112" s="2">
        <v>57</v>
      </c>
      <c r="D112" s="2" t="s">
        <v>50</v>
      </c>
      <c r="E112" s="2" t="s">
        <v>65</v>
      </c>
      <c r="F112" s="2" t="s">
        <v>75</v>
      </c>
      <c r="G112" s="2">
        <v>29.4</v>
      </c>
      <c r="H112" s="2">
        <v>144</v>
      </c>
      <c r="I112" s="2">
        <v>101</v>
      </c>
      <c r="J112" s="2">
        <v>237</v>
      </c>
      <c r="K112" s="2">
        <v>204</v>
      </c>
      <c r="L112" s="2" t="s">
        <v>26</v>
      </c>
      <c r="M112" s="2">
        <v>6</v>
      </c>
      <c r="N112" s="2">
        <v>7</v>
      </c>
      <c r="O112" s="2" t="s">
        <v>29</v>
      </c>
      <c r="P112" s="2" t="s">
        <v>382</v>
      </c>
      <c r="Q112" s="2">
        <v>17</v>
      </c>
      <c r="R112" s="2">
        <v>15</v>
      </c>
      <c r="S112" s="2" t="s">
        <v>78</v>
      </c>
      <c r="T112" s="2" t="s">
        <v>29</v>
      </c>
    </row>
    <row r="113" spans="1:20" x14ac:dyDescent="0.35">
      <c r="A113" s="3" t="s">
        <v>383</v>
      </c>
      <c r="B113" s="3" t="s">
        <v>384</v>
      </c>
      <c r="C113" s="3">
        <v>51</v>
      </c>
      <c r="D113" s="3" t="s">
        <v>32</v>
      </c>
      <c r="E113" s="3" t="s">
        <v>51</v>
      </c>
      <c r="F113" s="3" t="s">
        <v>34</v>
      </c>
      <c r="G113" s="3">
        <v>41.2</v>
      </c>
      <c r="H113" s="3">
        <v>167</v>
      </c>
      <c r="I113" s="3">
        <v>68</v>
      </c>
      <c r="J113" s="3">
        <v>239</v>
      </c>
      <c r="K113" s="3">
        <v>132</v>
      </c>
      <c r="L113" s="3" t="s">
        <v>29</v>
      </c>
      <c r="M113" s="3">
        <v>3</v>
      </c>
      <c r="N113" s="3">
        <v>6</v>
      </c>
      <c r="O113" s="3" t="s">
        <v>35</v>
      </c>
      <c r="P113" s="3" t="s">
        <v>385</v>
      </c>
      <c r="Q113" s="3">
        <v>17</v>
      </c>
      <c r="R113" s="3">
        <v>6</v>
      </c>
      <c r="S113" s="3" t="s">
        <v>99</v>
      </c>
      <c r="T113" s="3" t="s">
        <v>26</v>
      </c>
    </row>
    <row r="114" spans="1:20" x14ac:dyDescent="0.35">
      <c r="A114" s="2" t="s">
        <v>386</v>
      </c>
      <c r="B114" s="2" t="s">
        <v>387</v>
      </c>
      <c r="C114" s="2">
        <v>60</v>
      </c>
      <c r="D114" s="2" t="s">
        <v>32</v>
      </c>
      <c r="E114" s="2" t="s">
        <v>131</v>
      </c>
      <c r="F114" s="2" t="s">
        <v>52</v>
      </c>
      <c r="G114" s="2">
        <v>37.1</v>
      </c>
      <c r="H114" s="2">
        <v>127</v>
      </c>
      <c r="I114" s="2">
        <v>90</v>
      </c>
      <c r="J114" s="2">
        <v>193</v>
      </c>
      <c r="K114" s="2">
        <v>155</v>
      </c>
      <c r="L114" s="2" t="s">
        <v>29</v>
      </c>
      <c r="M114" s="2">
        <v>0</v>
      </c>
      <c r="N114" s="2">
        <v>4</v>
      </c>
      <c r="O114" s="2" t="s">
        <v>26</v>
      </c>
      <c r="P114" s="2" t="s">
        <v>388</v>
      </c>
      <c r="Q114" s="2">
        <v>15</v>
      </c>
      <c r="R114" s="2">
        <v>7</v>
      </c>
      <c r="S114" s="2" t="s">
        <v>54</v>
      </c>
      <c r="T114" s="2" t="s">
        <v>29</v>
      </c>
    </row>
    <row r="115" spans="1:20" x14ac:dyDescent="0.35">
      <c r="A115" s="3" t="s">
        <v>389</v>
      </c>
      <c r="B115" s="3" t="s">
        <v>390</v>
      </c>
      <c r="C115" s="3">
        <v>57</v>
      </c>
      <c r="D115" s="3" t="s">
        <v>106</v>
      </c>
      <c r="E115" s="3" t="s">
        <v>74</v>
      </c>
      <c r="F115" s="3" t="s">
        <v>34</v>
      </c>
      <c r="G115" s="3">
        <v>28.7</v>
      </c>
      <c r="H115" s="3">
        <v>145</v>
      </c>
      <c r="I115" s="3">
        <v>79</v>
      </c>
      <c r="J115" s="3">
        <v>206</v>
      </c>
      <c r="K115" s="3">
        <v>162</v>
      </c>
      <c r="L115" s="3" t="s">
        <v>76</v>
      </c>
      <c r="M115" s="3">
        <v>7</v>
      </c>
      <c r="N115" s="3">
        <v>8</v>
      </c>
      <c r="O115" s="3" t="s">
        <v>35</v>
      </c>
      <c r="P115" s="3" t="s">
        <v>391</v>
      </c>
      <c r="Q115" s="3">
        <v>11</v>
      </c>
      <c r="R115" s="3">
        <v>10</v>
      </c>
      <c r="S115" s="3" t="s">
        <v>28</v>
      </c>
      <c r="T115" s="3" t="s">
        <v>25</v>
      </c>
    </row>
    <row r="116" spans="1:20" x14ac:dyDescent="0.35">
      <c r="A116" s="2" t="s">
        <v>392</v>
      </c>
      <c r="B116" s="2" t="s">
        <v>393</v>
      </c>
      <c r="C116" s="2">
        <v>31</v>
      </c>
      <c r="D116" s="2" t="s">
        <v>32</v>
      </c>
      <c r="E116" s="2" t="s">
        <v>74</v>
      </c>
      <c r="F116" s="2" t="s">
        <v>75</v>
      </c>
      <c r="G116" s="2">
        <v>40.4</v>
      </c>
      <c r="H116" s="2">
        <v>153</v>
      </c>
      <c r="I116" s="2">
        <v>78</v>
      </c>
      <c r="J116" s="2">
        <v>179</v>
      </c>
      <c r="K116" s="2">
        <v>120</v>
      </c>
      <c r="L116" s="2" t="s">
        <v>26</v>
      </c>
      <c r="M116" s="2">
        <v>3</v>
      </c>
      <c r="N116" s="2">
        <v>7</v>
      </c>
      <c r="O116" s="2" t="s">
        <v>26</v>
      </c>
      <c r="P116" s="2" t="s">
        <v>394</v>
      </c>
      <c r="Q116" s="2">
        <v>10</v>
      </c>
      <c r="R116" s="2">
        <v>8</v>
      </c>
      <c r="S116" s="2" t="s">
        <v>70</v>
      </c>
      <c r="T116" s="2" t="s">
        <v>54</v>
      </c>
    </row>
    <row r="117" spans="1:20" x14ac:dyDescent="0.35">
      <c r="A117" s="3" t="s">
        <v>395</v>
      </c>
      <c r="B117" s="3" t="s">
        <v>396</v>
      </c>
      <c r="C117" s="3">
        <v>44</v>
      </c>
      <c r="D117" s="3" t="s">
        <v>50</v>
      </c>
      <c r="E117" s="3" t="s">
        <v>33</v>
      </c>
      <c r="F117" s="3" t="s">
        <v>75</v>
      </c>
      <c r="G117" s="3">
        <v>29.2</v>
      </c>
      <c r="H117" s="3">
        <v>169</v>
      </c>
      <c r="I117" s="3">
        <v>101</v>
      </c>
      <c r="J117" s="3">
        <v>155</v>
      </c>
      <c r="K117" s="3">
        <v>204</v>
      </c>
      <c r="L117" s="3" t="s">
        <v>25</v>
      </c>
      <c r="M117" s="3">
        <v>1</v>
      </c>
      <c r="N117" s="3">
        <v>1</v>
      </c>
      <c r="O117" s="3" t="s">
        <v>25</v>
      </c>
      <c r="P117" s="3" t="s">
        <v>397</v>
      </c>
      <c r="Q117" s="3">
        <v>20</v>
      </c>
      <c r="R117" s="3">
        <v>7</v>
      </c>
      <c r="S117" s="3" t="s">
        <v>92</v>
      </c>
      <c r="T117" s="3" t="s">
        <v>61</v>
      </c>
    </row>
    <row r="118" spans="1:20" x14ac:dyDescent="0.35">
      <c r="A118" s="2" t="s">
        <v>398</v>
      </c>
      <c r="B118" s="2" t="s">
        <v>399</v>
      </c>
      <c r="C118" s="2">
        <v>54</v>
      </c>
      <c r="D118" s="2" t="s">
        <v>54</v>
      </c>
      <c r="E118" s="2" t="s">
        <v>127</v>
      </c>
      <c r="F118" s="2" t="s">
        <v>117</v>
      </c>
      <c r="G118" s="2">
        <v>32.4</v>
      </c>
      <c r="H118" s="2">
        <v>161</v>
      </c>
      <c r="I118" s="2">
        <v>102</v>
      </c>
      <c r="J118" s="2">
        <v>264</v>
      </c>
      <c r="K118" s="2">
        <v>74</v>
      </c>
      <c r="L118" s="2" t="s">
        <v>25</v>
      </c>
      <c r="M118" s="2"/>
      <c r="N118" s="2">
        <v>9</v>
      </c>
      <c r="O118" s="2" t="s">
        <v>44</v>
      </c>
      <c r="P118" s="2" t="s">
        <v>400</v>
      </c>
      <c r="Q118" s="2">
        <v>8</v>
      </c>
      <c r="R118" s="2">
        <v>17</v>
      </c>
      <c r="S118" s="2" t="s">
        <v>166</v>
      </c>
      <c r="T118" s="2" t="s">
        <v>25</v>
      </c>
    </row>
    <row r="119" spans="1:20" x14ac:dyDescent="0.35">
      <c r="A119" s="3" t="s">
        <v>401</v>
      </c>
      <c r="B119" s="3" t="s">
        <v>402</v>
      </c>
      <c r="C119" s="3">
        <v>33</v>
      </c>
      <c r="D119" s="3" t="s">
        <v>73</v>
      </c>
      <c r="E119" s="3" t="s">
        <v>131</v>
      </c>
      <c r="F119" s="3" t="s">
        <v>75</v>
      </c>
      <c r="G119" s="3">
        <v>20.7</v>
      </c>
      <c r="H119" s="3">
        <v>124</v>
      </c>
      <c r="I119" s="3">
        <v>99</v>
      </c>
      <c r="J119" s="3">
        <v>274</v>
      </c>
      <c r="K119" s="3">
        <v>134</v>
      </c>
      <c r="L119" s="3" t="s">
        <v>26</v>
      </c>
      <c r="M119" s="3">
        <v>4</v>
      </c>
      <c r="N119" s="3">
        <v>7</v>
      </c>
      <c r="O119" s="3" t="s">
        <v>35</v>
      </c>
      <c r="P119" s="3" t="s">
        <v>403</v>
      </c>
      <c r="Q119" s="3">
        <v>18</v>
      </c>
      <c r="R119" s="3">
        <v>7</v>
      </c>
      <c r="S119" s="3" t="s">
        <v>78</v>
      </c>
      <c r="T119" s="3" t="s">
        <v>26</v>
      </c>
    </row>
    <row r="120" spans="1:20" x14ac:dyDescent="0.35">
      <c r="A120" s="2" t="s">
        <v>404</v>
      </c>
      <c r="B120" s="2" t="s">
        <v>154</v>
      </c>
      <c r="C120" s="2">
        <v>27</v>
      </c>
      <c r="D120" s="2" t="s">
        <v>64</v>
      </c>
      <c r="E120" s="2" t="s">
        <v>65</v>
      </c>
      <c r="F120" s="2" t="s">
        <v>34</v>
      </c>
      <c r="G120" s="2">
        <v>30.8</v>
      </c>
      <c r="H120" s="2">
        <v>107</v>
      </c>
      <c r="I120" s="2">
        <v>100</v>
      </c>
      <c r="J120" s="2">
        <v>142</v>
      </c>
      <c r="K120" s="2">
        <v>249</v>
      </c>
      <c r="L120" s="2" t="s">
        <v>107</v>
      </c>
      <c r="M120" s="2">
        <v>1</v>
      </c>
      <c r="N120" s="2">
        <v>8</v>
      </c>
      <c r="O120" s="2" t="s">
        <v>44</v>
      </c>
      <c r="P120" s="2" t="s">
        <v>405</v>
      </c>
      <c r="Q120" s="2">
        <v>3</v>
      </c>
      <c r="R120" s="2">
        <v>16</v>
      </c>
      <c r="S120" s="2" t="s">
        <v>99</v>
      </c>
      <c r="T120" s="2" t="s">
        <v>29</v>
      </c>
    </row>
    <row r="121" spans="1:20" x14ac:dyDescent="0.35">
      <c r="A121" s="3" t="s">
        <v>406</v>
      </c>
      <c r="B121" s="3" t="s">
        <v>407</v>
      </c>
      <c r="C121" s="3">
        <v>999</v>
      </c>
      <c r="D121" s="3" t="s">
        <v>32</v>
      </c>
      <c r="E121" s="3" t="s">
        <v>131</v>
      </c>
      <c r="F121" s="3" t="s">
        <v>57</v>
      </c>
      <c r="G121" s="3">
        <v>39.5</v>
      </c>
      <c r="H121" s="3"/>
      <c r="I121" s="3">
        <v>71</v>
      </c>
      <c r="J121" s="3">
        <v>220</v>
      </c>
      <c r="K121" s="3">
        <v>74</v>
      </c>
      <c r="L121" s="3" t="s">
        <v>86</v>
      </c>
      <c r="M121" s="3" t="s">
        <v>54</v>
      </c>
      <c r="N121" s="3">
        <v>3</v>
      </c>
      <c r="O121" s="3" t="s">
        <v>44</v>
      </c>
      <c r="P121" s="3"/>
      <c r="Q121" s="3">
        <v>-1</v>
      </c>
      <c r="R121" s="3">
        <v>18</v>
      </c>
      <c r="S121" s="3"/>
      <c r="T121" s="3" t="s">
        <v>100</v>
      </c>
    </row>
    <row r="122" spans="1:20" x14ac:dyDescent="0.35">
      <c r="A122" s="2" t="s">
        <v>408</v>
      </c>
      <c r="B122" s="2" t="s">
        <v>409</v>
      </c>
      <c r="C122" s="2">
        <v>30</v>
      </c>
      <c r="D122" s="2" t="s">
        <v>73</v>
      </c>
      <c r="E122" s="2" t="s">
        <v>51</v>
      </c>
      <c r="F122" s="2" t="s">
        <v>43</v>
      </c>
      <c r="G122" s="2">
        <v>18.3</v>
      </c>
      <c r="H122" s="2">
        <v>155</v>
      </c>
      <c r="I122" s="2">
        <v>74</v>
      </c>
      <c r="J122" s="2">
        <v>159</v>
      </c>
      <c r="K122" s="2">
        <v>157</v>
      </c>
      <c r="L122" s="2"/>
      <c r="M122" s="2" t="s">
        <v>54</v>
      </c>
      <c r="N122" s="2">
        <v>10</v>
      </c>
      <c r="O122" s="2" t="s">
        <v>44</v>
      </c>
      <c r="P122" s="2" t="s">
        <v>410</v>
      </c>
      <c r="Q122" s="2">
        <v>8</v>
      </c>
      <c r="R122" s="2">
        <v>14</v>
      </c>
      <c r="S122" s="2" t="s">
        <v>70</v>
      </c>
      <c r="T122" s="2" t="s">
        <v>29</v>
      </c>
    </row>
    <row r="123" spans="1:20" x14ac:dyDescent="0.35">
      <c r="A123" s="3" t="s">
        <v>411</v>
      </c>
      <c r="B123" s="3" t="s">
        <v>412</v>
      </c>
      <c r="C123" s="3">
        <v>46</v>
      </c>
      <c r="D123" s="3" t="s">
        <v>64</v>
      </c>
      <c r="E123" s="3" t="s">
        <v>33</v>
      </c>
      <c r="F123" s="3" t="s">
        <v>66</v>
      </c>
      <c r="G123" s="3">
        <v>33.5</v>
      </c>
      <c r="H123" s="3">
        <v>110</v>
      </c>
      <c r="I123" s="3">
        <v>99</v>
      </c>
      <c r="J123" s="3">
        <v>215</v>
      </c>
      <c r="K123" s="3">
        <v>133</v>
      </c>
      <c r="L123" s="3" t="s">
        <v>35</v>
      </c>
      <c r="M123" s="3">
        <v>1</v>
      </c>
      <c r="N123" s="3">
        <v>5</v>
      </c>
      <c r="O123" s="3" t="s">
        <v>29</v>
      </c>
      <c r="P123" s="3" t="s">
        <v>413</v>
      </c>
      <c r="Q123" s="3">
        <v>20</v>
      </c>
      <c r="R123" s="3">
        <v>4</v>
      </c>
      <c r="S123" s="3" t="s">
        <v>28</v>
      </c>
      <c r="T123" s="3" t="s">
        <v>47</v>
      </c>
    </row>
    <row r="124" spans="1:20" x14ac:dyDescent="0.35">
      <c r="A124" s="2" t="s">
        <v>414</v>
      </c>
      <c r="B124" s="2" t="s">
        <v>250</v>
      </c>
      <c r="C124" s="2">
        <v>27</v>
      </c>
      <c r="D124" s="2" t="s">
        <v>32</v>
      </c>
      <c r="E124" s="2" t="s">
        <v>74</v>
      </c>
      <c r="F124" s="2" t="s">
        <v>90</v>
      </c>
      <c r="G124" s="2">
        <v>26</v>
      </c>
      <c r="H124" s="2">
        <v>134</v>
      </c>
      <c r="I124" s="2">
        <v>66</v>
      </c>
      <c r="J124" s="2">
        <v>173</v>
      </c>
      <c r="K124" s="2">
        <v>92</v>
      </c>
      <c r="L124" s="2" t="s">
        <v>107</v>
      </c>
      <c r="M124" s="2">
        <v>6</v>
      </c>
      <c r="N124" s="2">
        <v>8</v>
      </c>
      <c r="O124" s="2" t="s">
        <v>44</v>
      </c>
      <c r="P124" s="2" t="s">
        <v>415</v>
      </c>
      <c r="Q124" s="2">
        <v>11</v>
      </c>
      <c r="R124" s="2">
        <v>17</v>
      </c>
      <c r="S124" s="2" t="s">
        <v>92</v>
      </c>
      <c r="T124" s="2" t="s">
        <v>47</v>
      </c>
    </row>
    <row r="125" spans="1:20" x14ac:dyDescent="0.35">
      <c r="A125" s="3" t="s">
        <v>416</v>
      </c>
      <c r="B125" s="3" t="s">
        <v>226</v>
      </c>
      <c r="C125" s="3">
        <v>40</v>
      </c>
      <c r="D125" s="3" t="s">
        <v>64</v>
      </c>
      <c r="E125" s="3" t="s">
        <v>65</v>
      </c>
      <c r="F125" s="3" t="s">
        <v>82</v>
      </c>
      <c r="G125" s="3">
        <v>35.1</v>
      </c>
      <c r="H125" s="3">
        <v>131</v>
      </c>
      <c r="I125" s="3">
        <v>96</v>
      </c>
      <c r="J125" s="3">
        <v>273</v>
      </c>
      <c r="K125" s="3">
        <v>113</v>
      </c>
      <c r="L125" s="3" t="s">
        <v>58</v>
      </c>
      <c r="M125" s="3">
        <v>2</v>
      </c>
      <c r="N125" s="3">
        <v>3</v>
      </c>
      <c r="O125" s="3" t="s">
        <v>68</v>
      </c>
      <c r="P125" s="3" t="s">
        <v>417</v>
      </c>
      <c r="Q125" s="3">
        <v>4</v>
      </c>
      <c r="R125" s="3">
        <v>2</v>
      </c>
      <c r="S125" s="3" t="s">
        <v>60</v>
      </c>
      <c r="T125" s="3"/>
    </row>
    <row r="126" spans="1:20" x14ac:dyDescent="0.35">
      <c r="A126" s="2" t="s">
        <v>418</v>
      </c>
      <c r="B126" s="2" t="s">
        <v>419</v>
      </c>
      <c r="C126" s="2">
        <v>41</v>
      </c>
      <c r="D126" s="2" t="s">
        <v>54</v>
      </c>
      <c r="E126" s="2" t="s">
        <v>131</v>
      </c>
      <c r="F126" s="2" t="s">
        <v>43</v>
      </c>
      <c r="G126" s="2">
        <v>23.3</v>
      </c>
      <c r="H126" s="2">
        <v>131</v>
      </c>
      <c r="I126" s="2">
        <v>100</v>
      </c>
      <c r="J126" s="2">
        <v>266</v>
      </c>
      <c r="K126" s="2">
        <v>222</v>
      </c>
      <c r="L126" s="2"/>
      <c r="M126" s="2">
        <v>3</v>
      </c>
      <c r="N126" s="2">
        <v>8</v>
      </c>
      <c r="O126" s="2" t="s">
        <v>35</v>
      </c>
      <c r="P126" s="2" t="s">
        <v>420</v>
      </c>
      <c r="Q126" s="2">
        <v>12</v>
      </c>
      <c r="R126" s="2">
        <v>10</v>
      </c>
      <c r="S126" s="2" t="s">
        <v>54</v>
      </c>
      <c r="T126" s="2"/>
    </row>
    <row r="127" spans="1:20" x14ac:dyDescent="0.35">
      <c r="A127" s="3" t="s">
        <v>421</v>
      </c>
      <c r="B127" s="3" t="s">
        <v>422</v>
      </c>
      <c r="C127" s="3">
        <v>43</v>
      </c>
      <c r="D127" s="3" t="s">
        <v>64</v>
      </c>
      <c r="E127" s="3" t="s">
        <v>42</v>
      </c>
      <c r="F127" s="3" t="s">
        <v>24</v>
      </c>
      <c r="G127" s="3">
        <v>24.5</v>
      </c>
      <c r="H127" s="3">
        <v>125</v>
      </c>
      <c r="I127" s="3">
        <v>90</v>
      </c>
      <c r="J127" s="3">
        <v>220</v>
      </c>
      <c r="K127" s="3">
        <v>115</v>
      </c>
      <c r="L127" s="3" t="s">
        <v>58</v>
      </c>
      <c r="M127" s="3">
        <v>5</v>
      </c>
      <c r="N127" s="3">
        <v>5</v>
      </c>
      <c r="O127" s="3" t="s">
        <v>76</v>
      </c>
      <c r="P127" s="3" t="s">
        <v>423</v>
      </c>
      <c r="Q127" s="3">
        <v>8</v>
      </c>
      <c r="R127" s="3">
        <v>12</v>
      </c>
      <c r="S127" s="3" t="s">
        <v>46</v>
      </c>
      <c r="T127" s="3" t="s">
        <v>35</v>
      </c>
    </row>
    <row r="128" spans="1:20" x14ac:dyDescent="0.35">
      <c r="A128" s="2" t="s">
        <v>424</v>
      </c>
      <c r="B128" s="2" t="s">
        <v>425</v>
      </c>
      <c r="C128" s="2">
        <v>59</v>
      </c>
      <c r="D128" s="2" t="s">
        <v>50</v>
      </c>
      <c r="E128" s="2" t="s">
        <v>51</v>
      </c>
      <c r="F128" s="2" t="s">
        <v>117</v>
      </c>
      <c r="G128" s="2">
        <v>40.799999999999997</v>
      </c>
      <c r="H128" s="2">
        <v>159</v>
      </c>
      <c r="I128" s="2">
        <v>105</v>
      </c>
      <c r="J128" s="2">
        <v>193</v>
      </c>
      <c r="K128" s="2">
        <v>182</v>
      </c>
      <c r="L128" s="2" t="s">
        <v>29</v>
      </c>
      <c r="M128" s="2">
        <v>1</v>
      </c>
      <c r="N128" s="2">
        <v>7</v>
      </c>
      <c r="O128" s="2" t="s">
        <v>76</v>
      </c>
      <c r="P128" s="2" t="s">
        <v>426</v>
      </c>
      <c r="Q128" s="2">
        <v>7</v>
      </c>
      <c r="R128" s="2">
        <v>8</v>
      </c>
      <c r="S128" s="2"/>
      <c r="T128" s="2" t="s">
        <v>61</v>
      </c>
    </row>
    <row r="129" spans="1:20" x14ac:dyDescent="0.35">
      <c r="A129" s="3" t="s">
        <v>427</v>
      </c>
      <c r="B129" s="3" t="s">
        <v>428</v>
      </c>
      <c r="C129" s="3">
        <v>26</v>
      </c>
      <c r="D129" s="3" t="s">
        <v>54</v>
      </c>
      <c r="E129" s="3" t="s">
        <v>42</v>
      </c>
      <c r="F129" s="3" t="s">
        <v>90</v>
      </c>
      <c r="G129" s="3">
        <v>31.6</v>
      </c>
      <c r="H129" s="3">
        <v>168</v>
      </c>
      <c r="I129" s="3">
        <v>92</v>
      </c>
      <c r="J129" s="3">
        <v>247</v>
      </c>
      <c r="K129" s="3">
        <v>209</v>
      </c>
      <c r="L129" s="3" t="s">
        <v>25</v>
      </c>
      <c r="M129" s="3">
        <v>5</v>
      </c>
      <c r="N129" s="3">
        <v>9</v>
      </c>
      <c r="O129" s="3" t="s">
        <v>35</v>
      </c>
      <c r="P129" s="3" t="s">
        <v>429</v>
      </c>
      <c r="Q129" s="3">
        <v>11</v>
      </c>
      <c r="R129" s="3">
        <v>5</v>
      </c>
      <c r="S129" s="3"/>
      <c r="T129" s="3" t="s">
        <v>25</v>
      </c>
    </row>
    <row r="130" spans="1:20" x14ac:dyDescent="0.35">
      <c r="A130" s="2" t="s">
        <v>430</v>
      </c>
      <c r="B130" s="2" t="s">
        <v>431</v>
      </c>
      <c r="C130" s="2">
        <v>43</v>
      </c>
      <c r="D130" s="2" t="s">
        <v>64</v>
      </c>
      <c r="E130" s="2" t="s">
        <v>131</v>
      </c>
      <c r="F130" s="2" t="s">
        <v>117</v>
      </c>
      <c r="G130" s="2">
        <v>19.5</v>
      </c>
      <c r="H130" s="2">
        <v>128</v>
      </c>
      <c r="I130" s="2">
        <v>92</v>
      </c>
      <c r="J130" s="2">
        <v>272</v>
      </c>
      <c r="K130" s="2">
        <v>212</v>
      </c>
      <c r="L130" s="2"/>
      <c r="M130" s="2" t="s">
        <v>54</v>
      </c>
      <c r="N130" s="2">
        <v>4</v>
      </c>
      <c r="O130" s="2" t="s">
        <v>76</v>
      </c>
      <c r="P130" s="2" t="s">
        <v>403</v>
      </c>
      <c r="Q130" s="2">
        <v>18</v>
      </c>
      <c r="R130" s="2">
        <v>16</v>
      </c>
      <c r="S130" s="2" t="s">
        <v>60</v>
      </c>
      <c r="T130" s="2" t="s">
        <v>47</v>
      </c>
    </row>
    <row r="131" spans="1:20" x14ac:dyDescent="0.35">
      <c r="A131" s="3" t="s">
        <v>432</v>
      </c>
      <c r="B131" s="3" t="s">
        <v>433</v>
      </c>
      <c r="C131" s="3">
        <v>28</v>
      </c>
      <c r="D131" s="3" t="s">
        <v>41</v>
      </c>
      <c r="E131" s="3" t="s">
        <v>65</v>
      </c>
      <c r="F131" s="3" t="s">
        <v>82</v>
      </c>
      <c r="G131" s="3">
        <v>19.899999999999999</v>
      </c>
      <c r="H131" s="3">
        <v>118</v>
      </c>
      <c r="I131" s="3">
        <v>82</v>
      </c>
      <c r="J131" s="3">
        <v>219</v>
      </c>
      <c r="K131" s="3">
        <v>157</v>
      </c>
      <c r="L131" s="3" t="s">
        <v>44</v>
      </c>
      <c r="M131" s="3">
        <v>3</v>
      </c>
      <c r="N131" s="3">
        <v>9</v>
      </c>
      <c r="O131" s="3" t="s">
        <v>76</v>
      </c>
      <c r="P131" s="3" t="s">
        <v>434</v>
      </c>
      <c r="Q131" s="3">
        <v>14</v>
      </c>
      <c r="R131" s="3">
        <v>14</v>
      </c>
      <c r="S131" s="3" t="s">
        <v>46</v>
      </c>
      <c r="T131" s="3" t="s">
        <v>35</v>
      </c>
    </row>
    <row r="132" spans="1:20" x14ac:dyDescent="0.35">
      <c r="A132" s="2" t="s">
        <v>435</v>
      </c>
      <c r="B132" s="2" t="s">
        <v>436</v>
      </c>
      <c r="C132" s="2">
        <v>29</v>
      </c>
      <c r="D132" s="2" t="s">
        <v>32</v>
      </c>
      <c r="E132" s="2" t="s">
        <v>127</v>
      </c>
      <c r="F132" s="2" t="s">
        <v>82</v>
      </c>
      <c r="G132" s="2">
        <v>33.9</v>
      </c>
      <c r="H132" s="2">
        <v>121</v>
      </c>
      <c r="I132" s="2">
        <v>75</v>
      </c>
      <c r="J132" s="2">
        <v>272</v>
      </c>
      <c r="K132" s="2">
        <v>114</v>
      </c>
      <c r="L132" s="2" t="s">
        <v>76</v>
      </c>
      <c r="M132" s="2">
        <v>2</v>
      </c>
      <c r="N132" s="2">
        <v>6</v>
      </c>
      <c r="O132" s="2" t="s">
        <v>44</v>
      </c>
      <c r="P132" s="2" t="s">
        <v>437</v>
      </c>
      <c r="Q132" s="2">
        <v>12</v>
      </c>
      <c r="R132" s="2">
        <v>20</v>
      </c>
      <c r="S132" s="2" t="s">
        <v>60</v>
      </c>
      <c r="T132" s="2" t="s">
        <v>61</v>
      </c>
    </row>
    <row r="133" spans="1:20" x14ac:dyDescent="0.35">
      <c r="A133" s="3" t="s">
        <v>438</v>
      </c>
      <c r="B133" s="3" t="s">
        <v>428</v>
      </c>
      <c r="C133" s="3">
        <v>23</v>
      </c>
      <c r="D133" s="3" t="s">
        <v>22</v>
      </c>
      <c r="E133" s="3" t="s">
        <v>81</v>
      </c>
      <c r="F133" s="3" t="s">
        <v>66</v>
      </c>
      <c r="G133" s="3">
        <v>27.7</v>
      </c>
      <c r="H133" s="3">
        <v>100</v>
      </c>
      <c r="I133" s="3">
        <v>105</v>
      </c>
      <c r="J133" s="3">
        <v>194</v>
      </c>
      <c r="K133" s="3">
        <v>122</v>
      </c>
      <c r="L133" s="3" t="s">
        <v>29</v>
      </c>
      <c r="M133" s="3">
        <v>1</v>
      </c>
      <c r="N133" s="3">
        <v>10</v>
      </c>
      <c r="O133" s="3" t="s">
        <v>35</v>
      </c>
      <c r="P133" s="3" t="s">
        <v>439</v>
      </c>
      <c r="Q133" s="3">
        <v>6</v>
      </c>
      <c r="R133" s="3">
        <v>14</v>
      </c>
      <c r="S133" s="3" t="s">
        <v>92</v>
      </c>
      <c r="T133" s="3" t="s">
        <v>26</v>
      </c>
    </row>
    <row r="134" spans="1:20" x14ac:dyDescent="0.35">
      <c r="A134" s="2" t="s">
        <v>440</v>
      </c>
      <c r="B134" s="2" t="s">
        <v>350</v>
      </c>
      <c r="C134" s="2">
        <v>62</v>
      </c>
      <c r="D134" s="2" t="s">
        <v>106</v>
      </c>
      <c r="E134" s="2" t="s">
        <v>42</v>
      </c>
      <c r="F134" s="2" t="s">
        <v>34</v>
      </c>
      <c r="G134" s="2">
        <v>32.299999999999997</v>
      </c>
      <c r="H134" s="2">
        <v>114</v>
      </c>
      <c r="I134" s="2">
        <v>82</v>
      </c>
      <c r="J134" s="2">
        <v>230</v>
      </c>
      <c r="K134" s="2">
        <v>187</v>
      </c>
      <c r="L134" s="2"/>
      <c r="M134" s="2">
        <v>2</v>
      </c>
      <c r="N134" s="2">
        <v>5</v>
      </c>
      <c r="O134" s="2" t="s">
        <v>35</v>
      </c>
      <c r="P134" s="2" t="s">
        <v>441</v>
      </c>
      <c r="Q134" s="2">
        <v>7</v>
      </c>
      <c r="R134" s="2">
        <v>9</v>
      </c>
      <c r="S134" s="2" t="s">
        <v>92</v>
      </c>
      <c r="T134" s="2" t="s">
        <v>61</v>
      </c>
    </row>
    <row r="135" spans="1:20" x14ac:dyDescent="0.35">
      <c r="A135" s="3" t="s">
        <v>442</v>
      </c>
      <c r="B135" s="3" t="s">
        <v>443</v>
      </c>
      <c r="C135" s="3">
        <v>54</v>
      </c>
      <c r="D135" s="3" t="s">
        <v>64</v>
      </c>
      <c r="E135" s="3" t="s">
        <v>65</v>
      </c>
      <c r="F135" s="3" t="s">
        <v>66</v>
      </c>
      <c r="G135" s="3">
        <v>20.399999999999999</v>
      </c>
      <c r="H135" s="3">
        <v>149</v>
      </c>
      <c r="I135" s="3">
        <v>87</v>
      </c>
      <c r="J135" s="3">
        <v>187</v>
      </c>
      <c r="K135" s="3">
        <v>194</v>
      </c>
      <c r="L135" s="3" t="s">
        <v>76</v>
      </c>
      <c r="M135" s="3" t="s">
        <v>67</v>
      </c>
      <c r="N135" s="3">
        <v>3</v>
      </c>
      <c r="O135" s="3" t="s">
        <v>29</v>
      </c>
      <c r="P135" s="3" t="s">
        <v>444</v>
      </c>
      <c r="Q135" s="3">
        <v>5</v>
      </c>
      <c r="R135" s="3">
        <v>10</v>
      </c>
      <c r="S135" s="3" t="s">
        <v>70</v>
      </c>
      <c r="T135" s="3" t="s">
        <v>25</v>
      </c>
    </row>
    <row r="136" spans="1:20" x14ac:dyDescent="0.35">
      <c r="A136" s="2" t="s">
        <v>445</v>
      </c>
      <c r="B136" s="2" t="s">
        <v>446</v>
      </c>
      <c r="C136" s="2">
        <v>53</v>
      </c>
      <c r="D136" s="2" t="s">
        <v>50</v>
      </c>
      <c r="E136" s="2" t="s">
        <v>23</v>
      </c>
      <c r="F136" s="2" t="s">
        <v>34</v>
      </c>
      <c r="G136" s="2">
        <v>41.1</v>
      </c>
      <c r="H136" s="2">
        <v>164</v>
      </c>
      <c r="I136" s="2">
        <v>101</v>
      </c>
      <c r="J136" s="2">
        <v>266</v>
      </c>
      <c r="K136" s="2">
        <v>174</v>
      </c>
      <c r="L136" s="2" t="s">
        <v>44</v>
      </c>
      <c r="M136" s="2">
        <v>6</v>
      </c>
      <c r="N136" s="2"/>
      <c r="O136" s="2" t="s">
        <v>76</v>
      </c>
      <c r="P136" s="2" t="s">
        <v>447</v>
      </c>
      <c r="Q136" s="2">
        <v>0</v>
      </c>
      <c r="R136" s="2">
        <v>7</v>
      </c>
      <c r="S136" s="2" t="s">
        <v>166</v>
      </c>
      <c r="T136" s="2" t="s">
        <v>25</v>
      </c>
    </row>
    <row r="137" spans="1:20" x14ac:dyDescent="0.35">
      <c r="A137" s="3" t="s">
        <v>448</v>
      </c>
      <c r="B137" s="3" t="s">
        <v>449</v>
      </c>
      <c r="C137" s="3">
        <v>56</v>
      </c>
      <c r="D137" s="3" t="s">
        <v>41</v>
      </c>
      <c r="E137" s="3" t="s">
        <v>33</v>
      </c>
      <c r="F137" s="3" t="s">
        <v>90</v>
      </c>
      <c r="G137" s="3">
        <v>31.1</v>
      </c>
      <c r="H137" s="3">
        <v>163</v>
      </c>
      <c r="I137" s="3">
        <v>95</v>
      </c>
      <c r="J137" s="3">
        <v>270</v>
      </c>
      <c r="K137" s="3">
        <v>98</v>
      </c>
      <c r="L137" s="3"/>
      <c r="M137" s="3">
        <v>1</v>
      </c>
      <c r="N137" s="3">
        <v>5</v>
      </c>
      <c r="O137" s="3" t="s">
        <v>36</v>
      </c>
      <c r="P137" s="3" t="s">
        <v>450</v>
      </c>
      <c r="Q137" s="3">
        <v>17</v>
      </c>
      <c r="R137" s="3">
        <v>6</v>
      </c>
      <c r="S137" s="3" t="s">
        <v>28</v>
      </c>
      <c r="T137" s="3" t="s">
        <v>35</v>
      </c>
    </row>
    <row r="138" spans="1:20" x14ac:dyDescent="0.35">
      <c r="A138" s="2" t="s">
        <v>451</v>
      </c>
      <c r="B138" s="2" t="s">
        <v>137</v>
      </c>
      <c r="C138" s="2">
        <v>24</v>
      </c>
      <c r="D138" s="2" t="s">
        <v>54</v>
      </c>
      <c r="E138" s="2" t="s">
        <v>74</v>
      </c>
      <c r="F138" s="2" t="s">
        <v>43</v>
      </c>
      <c r="G138" s="2">
        <v>38.6</v>
      </c>
      <c r="H138" s="2">
        <v>111</v>
      </c>
      <c r="I138" s="2">
        <v>88</v>
      </c>
      <c r="J138" s="2">
        <v>170</v>
      </c>
      <c r="K138" s="2">
        <v>130</v>
      </c>
      <c r="L138" s="2" t="s">
        <v>86</v>
      </c>
      <c r="M138" s="2" t="s">
        <v>54</v>
      </c>
      <c r="N138" s="2">
        <v>6</v>
      </c>
      <c r="O138" s="2" t="s">
        <v>44</v>
      </c>
      <c r="P138" s="2" t="s">
        <v>452</v>
      </c>
      <c r="Q138" s="2">
        <v>6</v>
      </c>
      <c r="R138" s="2">
        <v>6</v>
      </c>
      <c r="S138" s="2" t="s">
        <v>99</v>
      </c>
      <c r="T138" s="2" t="s">
        <v>47</v>
      </c>
    </row>
    <row r="139" spans="1:20" x14ac:dyDescent="0.35">
      <c r="A139" s="3" t="s">
        <v>453</v>
      </c>
      <c r="B139" s="3" t="s">
        <v>454</v>
      </c>
      <c r="C139" s="3">
        <v>60</v>
      </c>
      <c r="D139" s="3" t="s">
        <v>50</v>
      </c>
      <c r="E139" s="3" t="s">
        <v>127</v>
      </c>
      <c r="F139" s="3" t="s">
        <v>57</v>
      </c>
      <c r="G139" s="3">
        <v>24.2</v>
      </c>
      <c r="H139" s="3">
        <v>134</v>
      </c>
      <c r="I139" s="3">
        <v>92</v>
      </c>
      <c r="J139" s="3">
        <v>164</v>
      </c>
      <c r="K139" s="3">
        <v>104</v>
      </c>
      <c r="L139" s="3" t="s">
        <v>58</v>
      </c>
      <c r="M139" s="3">
        <v>0</v>
      </c>
      <c r="N139" s="3">
        <v>5</v>
      </c>
      <c r="O139" s="3" t="s">
        <v>29</v>
      </c>
      <c r="P139" s="3" t="s">
        <v>455</v>
      </c>
      <c r="Q139" s="3">
        <v>10</v>
      </c>
      <c r="R139" s="3">
        <v>7</v>
      </c>
      <c r="S139" s="3"/>
      <c r="T139" s="3"/>
    </row>
    <row r="140" spans="1:20" x14ac:dyDescent="0.35">
      <c r="A140" s="2" t="s">
        <v>456</v>
      </c>
      <c r="B140" s="2" t="s">
        <v>457</v>
      </c>
      <c r="C140" s="2">
        <v>58</v>
      </c>
      <c r="D140" s="2" t="s">
        <v>41</v>
      </c>
      <c r="E140" s="2" t="s">
        <v>65</v>
      </c>
      <c r="F140" s="2" t="s">
        <v>34</v>
      </c>
      <c r="G140" s="2">
        <v>28.3</v>
      </c>
      <c r="H140" s="2">
        <v>111</v>
      </c>
      <c r="I140" s="2">
        <v>85</v>
      </c>
      <c r="J140" s="2">
        <v>271</v>
      </c>
      <c r="K140" s="2">
        <v>141</v>
      </c>
      <c r="L140" s="2" t="s">
        <v>26</v>
      </c>
      <c r="M140" s="2">
        <v>7</v>
      </c>
      <c r="N140" s="2">
        <v>8</v>
      </c>
      <c r="O140" s="2" t="s">
        <v>36</v>
      </c>
      <c r="P140" s="2" t="s">
        <v>458</v>
      </c>
      <c r="Q140" s="2">
        <v>14</v>
      </c>
      <c r="R140" s="2">
        <v>20</v>
      </c>
      <c r="S140" s="2"/>
      <c r="T140" s="2" t="s">
        <v>47</v>
      </c>
    </row>
    <row r="141" spans="1:20" x14ac:dyDescent="0.35">
      <c r="A141" s="3" t="s">
        <v>459</v>
      </c>
      <c r="B141" s="3" t="s">
        <v>110</v>
      </c>
      <c r="C141" s="3">
        <v>47</v>
      </c>
      <c r="D141" s="3" t="s">
        <v>22</v>
      </c>
      <c r="E141" s="3" t="s">
        <v>65</v>
      </c>
      <c r="F141" s="3" t="s">
        <v>52</v>
      </c>
      <c r="G141" s="3">
        <v>29.4</v>
      </c>
      <c r="H141" s="3">
        <v>141</v>
      </c>
      <c r="I141" s="3">
        <v>78</v>
      </c>
      <c r="J141" s="3">
        <v>226</v>
      </c>
      <c r="K141" s="3">
        <v>210</v>
      </c>
      <c r="L141" s="3"/>
      <c r="M141" s="3">
        <v>2</v>
      </c>
      <c r="N141" s="3">
        <v>10</v>
      </c>
      <c r="O141" s="3" t="s">
        <v>76</v>
      </c>
      <c r="P141" s="3" t="s">
        <v>460</v>
      </c>
      <c r="Q141" s="3">
        <v>1</v>
      </c>
      <c r="R141" s="3">
        <v>1</v>
      </c>
      <c r="S141" s="3" t="s">
        <v>92</v>
      </c>
      <c r="T141" s="3" t="s">
        <v>54</v>
      </c>
    </row>
    <row r="142" spans="1:20" x14ac:dyDescent="0.35">
      <c r="A142" s="2" t="s">
        <v>461</v>
      </c>
      <c r="B142" s="2" t="s">
        <v>462</v>
      </c>
      <c r="C142" s="2">
        <v>32</v>
      </c>
      <c r="D142" s="2" t="s">
        <v>54</v>
      </c>
      <c r="E142" s="2" t="s">
        <v>81</v>
      </c>
      <c r="F142" s="2" t="s">
        <v>117</v>
      </c>
      <c r="G142" s="2">
        <v>41.8</v>
      </c>
      <c r="H142" s="2">
        <v>154</v>
      </c>
      <c r="I142" s="2">
        <v>72</v>
      </c>
      <c r="J142" s="2">
        <v>173</v>
      </c>
      <c r="K142" s="2">
        <v>236</v>
      </c>
      <c r="L142" s="2" t="s">
        <v>29</v>
      </c>
      <c r="M142" s="2">
        <v>2</v>
      </c>
      <c r="N142" s="2">
        <v>5</v>
      </c>
      <c r="O142" s="2" t="s">
        <v>35</v>
      </c>
      <c r="P142" s="2" t="s">
        <v>463</v>
      </c>
      <c r="Q142" s="2">
        <v>11</v>
      </c>
      <c r="R142" s="2">
        <v>20</v>
      </c>
      <c r="S142" s="2" t="s">
        <v>60</v>
      </c>
      <c r="T142" s="2" t="s">
        <v>25</v>
      </c>
    </row>
    <row r="143" spans="1:20" x14ac:dyDescent="0.35">
      <c r="A143" s="3" t="s">
        <v>464</v>
      </c>
      <c r="B143" s="3" t="s">
        <v>465</v>
      </c>
      <c r="C143" s="3">
        <v>36</v>
      </c>
      <c r="D143" s="3" t="s">
        <v>64</v>
      </c>
      <c r="E143" s="3" t="s">
        <v>131</v>
      </c>
      <c r="F143" s="3" t="s">
        <v>82</v>
      </c>
      <c r="G143" s="3">
        <v>17</v>
      </c>
      <c r="H143" s="3">
        <v>161</v>
      </c>
      <c r="I143" s="3">
        <v>64</v>
      </c>
      <c r="J143" s="3">
        <v>173</v>
      </c>
      <c r="K143" s="3">
        <v>221</v>
      </c>
      <c r="L143" s="3" t="s">
        <v>86</v>
      </c>
      <c r="M143" s="3"/>
      <c r="N143" s="3">
        <v>8</v>
      </c>
      <c r="O143" s="3" t="s">
        <v>25</v>
      </c>
      <c r="P143" s="3" t="s">
        <v>466</v>
      </c>
      <c r="Q143" s="3">
        <v>3</v>
      </c>
      <c r="R143" s="3">
        <v>13</v>
      </c>
      <c r="S143" s="3" t="s">
        <v>60</v>
      </c>
      <c r="T143" s="3" t="s">
        <v>54</v>
      </c>
    </row>
    <row r="144" spans="1:20" x14ac:dyDescent="0.35">
      <c r="A144" s="2" t="s">
        <v>467</v>
      </c>
      <c r="B144" s="2" t="s">
        <v>468</v>
      </c>
      <c r="C144" s="2">
        <v>46</v>
      </c>
      <c r="D144" s="2" t="s">
        <v>73</v>
      </c>
      <c r="E144" s="2" t="s">
        <v>131</v>
      </c>
      <c r="F144" s="2" t="s">
        <v>82</v>
      </c>
      <c r="G144" s="2">
        <v>24.8</v>
      </c>
      <c r="H144" s="2">
        <v>138</v>
      </c>
      <c r="I144" s="2">
        <v>68</v>
      </c>
      <c r="J144" s="2">
        <v>237</v>
      </c>
      <c r="K144" s="2">
        <v>104</v>
      </c>
      <c r="L144" s="2" t="s">
        <v>107</v>
      </c>
      <c r="M144" s="2">
        <v>1</v>
      </c>
      <c r="N144" s="2">
        <v>9</v>
      </c>
      <c r="O144" s="2" t="s">
        <v>25</v>
      </c>
      <c r="P144" s="2" t="s">
        <v>469</v>
      </c>
      <c r="Q144" s="2">
        <v>6</v>
      </c>
      <c r="R144" s="2">
        <v>20</v>
      </c>
      <c r="S144" s="2" t="s">
        <v>60</v>
      </c>
      <c r="T144" s="2"/>
    </row>
    <row r="145" spans="1:20" x14ac:dyDescent="0.35">
      <c r="A145" s="3" t="s">
        <v>470</v>
      </c>
      <c r="B145" s="3" t="s">
        <v>471</v>
      </c>
      <c r="C145" s="3">
        <v>35</v>
      </c>
      <c r="D145" s="3" t="s">
        <v>73</v>
      </c>
      <c r="E145" s="3" t="s">
        <v>131</v>
      </c>
      <c r="F145" s="3" t="s">
        <v>24</v>
      </c>
      <c r="G145" s="3">
        <v>35.799999999999997</v>
      </c>
      <c r="H145" s="3">
        <v>149</v>
      </c>
      <c r="I145" s="3">
        <v>82</v>
      </c>
      <c r="J145" s="3">
        <v>249</v>
      </c>
      <c r="K145" s="3">
        <v>150</v>
      </c>
      <c r="L145" s="3" t="s">
        <v>107</v>
      </c>
      <c r="M145" s="3">
        <v>3</v>
      </c>
      <c r="N145" s="3">
        <v>5</v>
      </c>
      <c r="O145" s="3" t="s">
        <v>35</v>
      </c>
      <c r="P145" s="3" t="s">
        <v>472</v>
      </c>
      <c r="Q145" s="3">
        <v>19</v>
      </c>
      <c r="R145" s="3">
        <v>19</v>
      </c>
      <c r="S145" s="3" t="s">
        <v>166</v>
      </c>
      <c r="T145" s="3" t="s">
        <v>25</v>
      </c>
    </row>
    <row r="146" spans="1:20" x14ac:dyDescent="0.35">
      <c r="A146" s="2" t="s">
        <v>473</v>
      </c>
      <c r="B146" s="2" t="s">
        <v>217</v>
      </c>
      <c r="C146" s="2">
        <v>55</v>
      </c>
      <c r="D146" s="2" t="s">
        <v>22</v>
      </c>
      <c r="E146" s="2" t="s">
        <v>65</v>
      </c>
      <c r="F146" s="2" t="s">
        <v>57</v>
      </c>
      <c r="G146" s="2">
        <v>33.200000000000003</v>
      </c>
      <c r="H146" s="2">
        <v>130</v>
      </c>
      <c r="I146" s="2">
        <v>91</v>
      </c>
      <c r="J146" s="2">
        <v>238</v>
      </c>
      <c r="K146" s="2">
        <v>98</v>
      </c>
      <c r="L146" s="2" t="s">
        <v>86</v>
      </c>
      <c r="M146" s="2">
        <v>7</v>
      </c>
      <c r="N146" s="2">
        <v>10</v>
      </c>
      <c r="O146" s="2" t="s">
        <v>35</v>
      </c>
      <c r="P146" s="2" t="s">
        <v>474</v>
      </c>
      <c r="Q146" s="2">
        <v>4</v>
      </c>
      <c r="R146" s="2">
        <v>12</v>
      </c>
      <c r="S146" s="2" t="s">
        <v>54</v>
      </c>
      <c r="T146" s="2"/>
    </row>
    <row r="147" spans="1:20" x14ac:dyDescent="0.35">
      <c r="A147" s="3" t="s">
        <v>475</v>
      </c>
      <c r="B147" s="3" t="s">
        <v>412</v>
      </c>
      <c r="C147" s="3">
        <v>33</v>
      </c>
      <c r="D147" s="3" t="s">
        <v>54</v>
      </c>
      <c r="E147" s="3" t="s">
        <v>131</v>
      </c>
      <c r="F147" s="3" t="s">
        <v>117</v>
      </c>
      <c r="G147" s="3">
        <v>31.7</v>
      </c>
      <c r="H147" s="3">
        <v>101</v>
      </c>
      <c r="I147" s="3">
        <v>76</v>
      </c>
      <c r="J147" s="3">
        <v>195</v>
      </c>
      <c r="K147" s="3">
        <v>80</v>
      </c>
      <c r="L147" s="3" t="s">
        <v>25</v>
      </c>
      <c r="M147" s="3">
        <v>6</v>
      </c>
      <c r="N147" s="3">
        <v>9</v>
      </c>
      <c r="O147" s="3" t="s">
        <v>68</v>
      </c>
      <c r="P147" s="3" t="s">
        <v>476</v>
      </c>
      <c r="Q147" s="3">
        <v>12</v>
      </c>
      <c r="R147" s="3">
        <v>2</v>
      </c>
      <c r="S147" s="3"/>
      <c r="T147" s="3" t="s">
        <v>100</v>
      </c>
    </row>
    <row r="148" spans="1:20" x14ac:dyDescent="0.35">
      <c r="A148" s="2" t="s">
        <v>477</v>
      </c>
      <c r="B148" s="2" t="s">
        <v>478</v>
      </c>
      <c r="C148" s="2">
        <v>31</v>
      </c>
      <c r="D148" s="2" t="s">
        <v>41</v>
      </c>
      <c r="E148" s="2" t="s">
        <v>131</v>
      </c>
      <c r="F148" s="2" t="s">
        <v>57</v>
      </c>
      <c r="G148" s="2">
        <v>19</v>
      </c>
      <c r="H148" s="2">
        <v>126</v>
      </c>
      <c r="I148" s="2">
        <v>69</v>
      </c>
      <c r="J148" s="2">
        <v>277</v>
      </c>
      <c r="K148" s="2">
        <v>153</v>
      </c>
      <c r="L148" s="2" t="s">
        <v>58</v>
      </c>
      <c r="M148" s="2" t="s">
        <v>54</v>
      </c>
      <c r="N148" s="2">
        <v>2</v>
      </c>
      <c r="O148" s="2" t="s">
        <v>68</v>
      </c>
      <c r="P148" s="2" t="s">
        <v>479</v>
      </c>
      <c r="Q148" s="2">
        <v>7</v>
      </c>
      <c r="R148" s="2">
        <v>1</v>
      </c>
      <c r="S148" s="2" t="s">
        <v>78</v>
      </c>
      <c r="T148" s="2" t="s">
        <v>35</v>
      </c>
    </row>
    <row r="149" spans="1:20" x14ac:dyDescent="0.35">
      <c r="A149" s="3" t="s">
        <v>480</v>
      </c>
      <c r="B149" s="3" t="s">
        <v>186</v>
      </c>
      <c r="C149" s="3">
        <v>51</v>
      </c>
      <c r="D149" s="3" t="s">
        <v>32</v>
      </c>
      <c r="E149" s="3" t="s">
        <v>74</v>
      </c>
      <c r="F149" s="3" t="s">
        <v>24</v>
      </c>
      <c r="G149" s="3">
        <v>20</v>
      </c>
      <c r="H149" s="3">
        <v>117</v>
      </c>
      <c r="I149" s="3">
        <v>104</v>
      </c>
      <c r="J149" s="3">
        <v>142</v>
      </c>
      <c r="K149" s="3">
        <v>111</v>
      </c>
      <c r="L149" s="3" t="s">
        <v>44</v>
      </c>
      <c r="M149" s="3">
        <v>5</v>
      </c>
      <c r="N149" s="3">
        <v>9</v>
      </c>
      <c r="O149" s="3" t="s">
        <v>68</v>
      </c>
      <c r="P149" s="3" t="s">
        <v>481</v>
      </c>
      <c r="Q149" s="3">
        <v>8</v>
      </c>
      <c r="R149" s="3">
        <v>3</v>
      </c>
      <c r="S149" s="3" t="s">
        <v>99</v>
      </c>
      <c r="T149" s="3" t="s">
        <v>47</v>
      </c>
    </row>
    <row r="150" spans="1:20" x14ac:dyDescent="0.35">
      <c r="A150" s="2" t="s">
        <v>482</v>
      </c>
      <c r="B150" s="2" t="s">
        <v>483</v>
      </c>
      <c r="C150" s="2">
        <v>55</v>
      </c>
      <c r="D150" s="2" t="s">
        <v>73</v>
      </c>
      <c r="E150" s="2" t="s">
        <v>74</v>
      </c>
      <c r="F150" s="2" t="s">
        <v>66</v>
      </c>
      <c r="G150" s="2">
        <v>32.700000000000003</v>
      </c>
      <c r="H150" s="2">
        <v>163</v>
      </c>
      <c r="I150" s="2">
        <v>89</v>
      </c>
      <c r="J150" s="2">
        <v>270</v>
      </c>
      <c r="K150" s="2">
        <v>162</v>
      </c>
      <c r="L150" s="2" t="s">
        <v>25</v>
      </c>
      <c r="M150" s="2">
        <v>7</v>
      </c>
      <c r="N150" s="2">
        <v>10</v>
      </c>
      <c r="O150" s="2" t="s">
        <v>29</v>
      </c>
      <c r="P150" s="2" t="s">
        <v>484</v>
      </c>
      <c r="Q150" s="2">
        <v>3</v>
      </c>
      <c r="R150" s="2">
        <v>18</v>
      </c>
      <c r="S150" s="2"/>
      <c r="T150" s="2" t="s">
        <v>35</v>
      </c>
    </row>
    <row r="151" spans="1:20" x14ac:dyDescent="0.35">
      <c r="A151" s="3" t="s">
        <v>485</v>
      </c>
      <c r="B151" s="3" t="s">
        <v>486</v>
      </c>
      <c r="C151" s="3">
        <v>22</v>
      </c>
      <c r="D151" s="3" t="s">
        <v>32</v>
      </c>
      <c r="E151" s="3" t="s">
        <v>161</v>
      </c>
      <c r="F151" s="3" t="s">
        <v>52</v>
      </c>
      <c r="G151" s="3">
        <v>0</v>
      </c>
      <c r="H151" s="3">
        <v>149</v>
      </c>
      <c r="I151" s="3">
        <v>69</v>
      </c>
      <c r="J151" s="3">
        <v>185</v>
      </c>
      <c r="K151" s="3">
        <v>79</v>
      </c>
      <c r="L151" s="3" t="s">
        <v>76</v>
      </c>
      <c r="M151" s="3" t="s">
        <v>67</v>
      </c>
      <c r="N151" s="3">
        <v>7</v>
      </c>
      <c r="O151" s="3" t="s">
        <v>26</v>
      </c>
      <c r="P151" s="3" t="s">
        <v>328</v>
      </c>
      <c r="Q151" s="3">
        <v>8</v>
      </c>
      <c r="R151" s="3">
        <v>2</v>
      </c>
      <c r="S151" s="3" t="s">
        <v>54</v>
      </c>
      <c r="T151" s="3" t="s">
        <v>47</v>
      </c>
    </row>
    <row r="152" spans="1:20" x14ac:dyDescent="0.35">
      <c r="A152" s="2" t="s">
        <v>487</v>
      </c>
      <c r="B152" s="2" t="s">
        <v>488</v>
      </c>
      <c r="C152" s="2">
        <v>25</v>
      </c>
      <c r="D152" s="2" t="s">
        <v>50</v>
      </c>
      <c r="E152" s="2" t="s">
        <v>23</v>
      </c>
      <c r="F152" s="2" t="s">
        <v>75</v>
      </c>
      <c r="G152" s="2">
        <v>41.5</v>
      </c>
      <c r="H152" s="2">
        <v>151</v>
      </c>
      <c r="I152" s="2">
        <v>64</v>
      </c>
      <c r="J152" s="2">
        <v>259</v>
      </c>
      <c r="K152" s="2">
        <v>142</v>
      </c>
      <c r="L152" s="2" t="s">
        <v>29</v>
      </c>
      <c r="M152" s="2">
        <v>5</v>
      </c>
      <c r="N152" s="2">
        <v>2</v>
      </c>
      <c r="O152" s="2" t="s">
        <v>76</v>
      </c>
      <c r="P152" s="2" t="s">
        <v>489</v>
      </c>
      <c r="Q152" s="2">
        <v>9</v>
      </c>
      <c r="R152" s="2">
        <v>18</v>
      </c>
      <c r="S152" s="2" t="s">
        <v>166</v>
      </c>
      <c r="T152" s="2" t="s">
        <v>29</v>
      </c>
    </row>
    <row r="153" spans="1:20" x14ac:dyDescent="0.35">
      <c r="A153" s="3" t="s">
        <v>490</v>
      </c>
      <c r="B153" s="3" t="s">
        <v>289</v>
      </c>
      <c r="C153" s="3">
        <v>59</v>
      </c>
      <c r="D153" s="3" t="s">
        <v>54</v>
      </c>
      <c r="E153" s="3" t="s">
        <v>23</v>
      </c>
      <c r="F153" s="3" t="s">
        <v>75</v>
      </c>
      <c r="G153" s="3">
        <v>36</v>
      </c>
      <c r="H153" s="3">
        <v>131</v>
      </c>
      <c r="I153" s="3">
        <v>69</v>
      </c>
      <c r="J153" s="3">
        <v>141</v>
      </c>
      <c r="K153" s="3">
        <v>174</v>
      </c>
      <c r="L153" s="3" t="s">
        <v>25</v>
      </c>
      <c r="M153" s="3">
        <v>3</v>
      </c>
      <c r="N153" s="3">
        <v>9</v>
      </c>
      <c r="O153" s="3" t="s">
        <v>36</v>
      </c>
      <c r="P153" s="3" t="s">
        <v>491</v>
      </c>
      <c r="Q153" s="3">
        <v>12</v>
      </c>
      <c r="R153" s="3">
        <v>9</v>
      </c>
      <c r="S153" s="3" t="s">
        <v>92</v>
      </c>
      <c r="T153" s="3" t="s">
        <v>29</v>
      </c>
    </row>
    <row r="154" spans="1:20" x14ac:dyDescent="0.35">
      <c r="A154" s="2" t="s">
        <v>492</v>
      </c>
      <c r="B154" s="2" t="s">
        <v>493</v>
      </c>
      <c r="C154" s="2">
        <v>48</v>
      </c>
      <c r="D154" s="2" t="s">
        <v>54</v>
      </c>
      <c r="E154" s="2" t="s">
        <v>161</v>
      </c>
      <c r="F154" s="2" t="s">
        <v>24</v>
      </c>
      <c r="G154" s="2">
        <v>34.799999999999997</v>
      </c>
      <c r="H154" s="2">
        <v>111</v>
      </c>
      <c r="I154" s="2">
        <v>62</v>
      </c>
      <c r="J154" s="2">
        <v>199</v>
      </c>
      <c r="K154" s="2">
        <v>203</v>
      </c>
      <c r="L154" s="2" t="s">
        <v>58</v>
      </c>
      <c r="M154" s="2">
        <v>5</v>
      </c>
      <c r="N154" s="2">
        <v>8</v>
      </c>
      <c r="O154" s="2" t="s">
        <v>35</v>
      </c>
      <c r="P154" s="2" t="s">
        <v>494</v>
      </c>
      <c r="Q154" s="2">
        <v>20</v>
      </c>
      <c r="R154" s="2">
        <v>12</v>
      </c>
      <c r="S154" s="2" t="s">
        <v>92</v>
      </c>
      <c r="T154" s="2" t="s">
        <v>25</v>
      </c>
    </row>
    <row r="155" spans="1:20" x14ac:dyDescent="0.35">
      <c r="A155" s="3" t="s">
        <v>495</v>
      </c>
      <c r="B155" s="3" t="s">
        <v>496</v>
      </c>
      <c r="C155" s="3">
        <v>37</v>
      </c>
      <c r="D155" s="3" t="s">
        <v>41</v>
      </c>
      <c r="E155" s="3" t="s">
        <v>74</v>
      </c>
      <c r="F155" s="3" t="s">
        <v>43</v>
      </c>
      <c r="G155" s="3">
        <v>40.200000000000003</v>
      </c>
      <c r="H155" s="3">
        <v>150</v>
      </c>
      <c r="I155" s="3">
        <v>104</v>
      </c>
      <c r="J155" s="3">
        <v>223</v>
      </c>
      <c r="K155" s="3">
        <v>151</v>
      </c>
      <c r="L155" s="3" t="s">
        <v>44</v>
      </c>
      <c r="M155" s="3">
        <v>4</v>
      </c>
      <c r="N155" s="3">
        <v>4</v>
      </c>
      <c r="O155" s="3" t="s">
        <v>35</v>
      </c>
      <c r="P155" s="3" t="s">
        <v>497</v>
      </c>
      <c r="Q155" s="3">
        <v>18</v>
      </c>
      <c r="R155" s="3">
        <v>3</v>
      </c>
      <c r="S155" s="3" t="s">
        <v>60</v>
      </c>
      <c r="T155" s="3" t="s">
        <v>35</v>
      </c>
    </row>
    <row r="156" spans="1:20" x14ac:dyDescent="0.35">
      <c r="A156" s="2" t="s">
        <v>498</v>
      </c>
      <c r="B156" s="2" t="s">
        <v>116</v>
      </c>
      <c r="C156" s="2">
        <v>51</v>
      </c>
      <c r="D156" s="2" t="s">
        <v>106</v>
      </c>
      <c r="E156" s="2" t="s">
        <v>65</v>
      </c>
      <c r="F156" s="2" t="s">
        <v>82</v>
      </c>
      <c r="G156" s="2">
        <v>30.4</v>
      </c>
      <c r="H156" s="2">
        <v>126</v>
      </c>
      <c r="I156" s="2">
        <v>88</v>
      </c>
      <c r="J156" s="2">
        <v>218</v>
      </c>
      <c r="K156" s="2">
        <v>188</v>
      </c>
      <c r="L156" s="2" t="s">
        <v>29</v>
      </c>
      <c r="M156" s="2">
        <v>1</v>
      </c>
      <c r="N156" s="2">
        <v>2</v>
      </c>
      <c r="O156" s="2" t="s">
        <v>29</v>
      </c>
      <c r="P156" s="2" t="s">
        <v>499</v>
      </c>
      <c r="Q156" s="2">
        <v>19</v>
      </c>
      <c r="R156" s="2">
        <v>1</v>
      </c>
      <c r="S156" s="2" t="s">
        <v>78</v>
      </c>
      <c r="T156" s="2" t="s">
        <v>47</v>
      </c>
    </row>
    <row r="157" spans="1:20" x14ac:dyDescent="0.35">
      <c r="A157" s="3" t="s">
        <v>500</v>
      </c>
      <c r="B157" s="3" t="s">
        <v>501</v>
      </c>
      <c r="C157" s="3">
        <v>37</v>
      </c>
      <c r="D157" s="3" t="s">
        <v>106</v>
      </c>
      <c r="E157" s="3" t="s">
        <v>65</v>
      </c>
      <c r="F157" s="3" t="s">
        <v>75</v>
      </c>
      <c r="G157" s="3">
        <v>18.2</v>
      </c>
      <c r="H157" s="3">
        <v>138</v>
      </c>
      <c r="I157" s="3">
        <v>76</v>
      </c>
      <c r="J157" s="3">
        <v>184</v>
      </c>
      <c r="K157" s="3">
        <v>77</v>
      </c>
      <c r="L157" s="3" t="s">
        <v>58</v>
      </c>
      <c r="M157" s="3">
        <v>7</v>
      </c>
      <c r="N157" s="3">
        <v>9</v>
      </c>
      <c r="O157" s="3" t="s">
        <v>26</v>
      </c>
      <c r="P157" s="3" t="s">
        <v>502</v>
      </c>
      <c r="Q157" s="3">
        <v>4</v>
      </c>
      <c r="R157" s="3">
        <v>3</v>
      </c>
      <c r="S157" s="3" t="s">
        <v>99</v>
      </c>
      <c r="T157" s="3" t="s">
        <v>25</v>
      </c>
    </row>
    <row r="158" spans="1:20" x14ac:dyDescent="0.35">
      <c r="A158" s="2" t="s">
        <v>503</v>
      </c>
      <c r="B158" s="2" t="s">
        <v>504</v>
      </c>
      <c r="C158" s="2">
        <v>34</v>
      </c>
      <c r="D158" s="2" t="s">
        <v>64</v>
      </c>
      <c r="E158" s="2" t="s">
        <v>127</v>
      </c>
      <c r="F158" s="2" t="s">
        <v>82</v>
      </c>
      <c r="G158" s="2">
        <v>31.6</v>
      </c>
      <c r="H158" s="2">
        <v>133</v>
      </c>
      <c r="I158" s="2">
        <v>64</v>
      </c>
      <c r="J158" s="2">
        <v>145</v>
      </c>
      <c r="K158" s="2">
        <v>86</v>
      </c>
      <c r="L158" s="2" t="s">
        <v>86</v>
      </c>
      <c r="M158" s="2" t="s">
        <v>67</v>
      </c>
      <c r="N158" s="2">
        <v>8</v>
      </c>
      <c r="O158" s="2" t="s">
        <v>29</v>
      </c>
      <c r="P158" s="2" t="s">
        <v>505</v>
      </c>
      <c r="Q158" s="2">
        <v>1</v>
      </c>
      <c r="R158" s="2">
        <v>14</v>
      </c>
      <c r="S158" s="2" t="s">
        <v>99</v>
      </c>
      <c r="T158" s="2" t="s">
        <v>61</v>
      </c>
    </row>
    <row r="159" spans="1:20" x14ac:dyDescent="0.35">
      <c r="A159" s="3" t="s">
        <v>506</v>
      </c>
      <c r="B159" s="3" t="s">
        <v>507</v>
      </c>
      <c r="C159" s="3">
        <v>47</v>
      </c>
      <c r="D159" s="3" t="s">
        <v>54</v>
      </c>
      <c r="E159" s="3" t="s">
        <v>161</v>
      </c>
      <c r="F159" s="3" t="s">
        <v>34</v>
      </c>
      <c r="G159" s="3">
        <v>34.1</v>
      </c>
      <c r="H159" s="3">
        <v>122</v>
      </c>
      <c r="I159" s="3">
        <v>82</v>
      </c>
      <c r="J159" s="3">
        <v>194</v>
      </c>
      <c r="K159" s="3">
        <v>117</v>
      </c>
      <c r="L159" s="3" t="s">
        <v>29</v>
      </c>
      <c r="M159" s="3">
        <v>4</v>
      </c>
      <c r="N159" s="3">
        <v>8</v>
      </c>
      <c r="O159" s="3" t="s">
        <v>29</v>
      </c>
      <c r="P159" s="3" t="s">
        <v>508</v>
      </c>
      <c r="Q159" s="3">
        <v>19</v>
      </c>
      <c r="R159" s="3">
        <v>7</v>
      </c>
      <c r="S159" s="3"/>
      <c r="T159" s="3" t="s">
        <v>26</v>
      </c>
    </row>
    <row r="160" spans="1:20" x14ac:dyDescent="0.35">
      <c r="A160" s="2" t="s">
        <v>509</v>
      </c>
      <c r="B160" s="2" t="s">
        <v>510</v>
      </c>
      <c r="C160" s="2">
        <v>57</v>
      </c>
      <c r="D160" s="2" t="s">
        <v>54</v>
      </c>
      <c r="E160" s="2" t="s">
        <v>161</v>
      </c>
      <c r="F160" s="2" t="s">
        <v>82</v>
      </c>
      <c r="G160" s="2">
        <v>24</v>
      </c>
      <c r="H160" s="2">
        <v>117</v>
      </c>
      <c r="I160" s="2">
        <v>86</v>
      </c>
      <c r="J160" s="2">
        <v>191</v>
      </c>
      <c r="K160" s="2">
        <v>234</v>
      </c>
      <c r="L160" s="2" t="s">
        <v>76</v>
      </c>
      <c r="M160" s="2">
        <v>3</v>
      </c>
      <c r="N160" s="2">
        <v>9</v>
      </c>
      <c r="O160" s="2" t="s">
        <v>25</v>
      </c>
      <c r="P160" s="2" t="s">
        <v>511</v>
      </c>
      <c r="Q160" s="2">
        <v>15</v>
      </c>
      <c r="R160" s="2">
        <v>17</v>
      </c>
      <c r="S160" s="2" t="s">
        <v>70</v>
      </c>
      <c r="T160" s="2" t="s">
        <v>47</v>
      </c>
    </row>
    <row r="161" spans="1:20" x14ac:dyDescent="0.35">
      <c r="A161" s="3" t="s">
        <v>512</v>
      </c>
      <c r="B161" s="3" t="s">
        <v>513</v>
      </c>
      <c r="C161" s="3">
        <v>42</v>
      </c>
      <c r="D161" s="3" t="s">
        <v>64</v>
      </c>
      <c r="E161" s="3" t="s">
        <v>74</v>
      </c>
      <c r="F161" s="3" t="s">
        <v>24</v>
      </c>
      <c r="G161" s="3">
        <v>17.7</v>
      </c>
      <c r="H161" s="3"/>
      <c r="I161" s="3">
        <v>61</v>
      </c>
      <c r="J161" s="3">
        <v>211</v>
      </c>
      <c r="K161" s="3">
        <v>84</v>
      </c>
      <c r="L161" s="3" t="s">
        <v>44</v>
      </c>
      <c r="M161" s="3"/>
      <c r="N161" s="3">
        <v>6</v>
      </c>
      <c r="O161" s="3" t="s">
        <v>26</v>
      </c>
      <c r="P161" s="3" t="s">
        <v>514</v>
      </c>
      <c r="Q161" s="3">
        <v>7</v>
      </c>
      <c r="R161" s="3">
        <v>8</v>
      </c>
      <c r="S161" s="3" t="s">
        <v>38</v>
      </c>
      <c r="T161" s="3" t="s">
        <v>25</v>
      </c>
    </row>
    <row r="162" spans="1:20" x14ac:dyDescent="0.35">
      <c r="A162" s="2" t="s">
        <v>515</v>
      </c>
      <c r="B162" s="2" t="s">
        <v>80</v>
      </c>
      <c r="C162" s="2">
        <v>46</v>
      </c>
      <c r="D162" s="2" t="s">
        <v>106</v>
      </c>
      <c r="E162" s="2" t="s">
        <v>33</v>
      </c>
      <c r="F162" s="2" t="s">
        <v>24</v>
      </c>
      <c r="G162" s="2">
        <v>22.9</v>
      </c>
      <c r="H162" s="2">
        <v>140</v>
      </c>
      <c r="I162" s="2">
        <v>104</v>
      </c>
      <c r="J162" s="2">
        <v>231</v>
      </c>
      <c r="K162" s="2">
        <v>221</v>
      </c>
      <c r="L162" s="2" t="s">
        <v>25</v>
      </c>
      <c r="M162" s="2">
        <v>5</v>
      </c>
      <c r="N162" s="2">
        <v>10</v>
      </c>
      <c r="O162" s="2" t="s">
        <v>29</v>
      </c>
      <c r="P162" s="2" t="s">
        <v>516</v>
      </c>
      <c r="Q162" s="2">
        <v>9</v>
      </c>
      <c r="R162" s="2">
        <v>5</v>
      </c>
      <c r="S162" s="2" t="s">
        <v>70</v>
      </c>
      <c r="T162" s="2" t="s">
        <v>25</v>
      </c>
    </row>
    <row r="163" spans="1:20" x14ac:dyDescent="0.35">
      <c r="A163" s="3" t="s">
        <v>517</v>
      </c>
      <c r="B163" s="3" t="s">
        <v>154</v>
      </c>
      <c r="C163" s="3">
        <v>36</v>
      </c>
      <c r="D163" s="3" t="s">
        <v>22</v>
      </c>
      <c r="E163" s="3" t="s">
        <v>161</v>
      </c>
      <c r="F163" s="3" t="s">
        <v>75</v>
      </c>
      <c r="G163" s="3">
        <v>28.9</v>
      </c>
      <c r="H163" s="3">
        <v>142</v>
      </c>
      <c r="I163" s="3">
        <v>99</v>
      </c>
      <c r="J163" s="3">
        <v>191</v>
      </c>
      <c r="K163" s="3">
        <v>103</v>
      </c>
      <c r="L163" s="3" t="s">
        <v>26</v>
      </c>
      <c r="M163" s="3">
        <v>2</v>
      </c>
      <c r="N163" s="3">
        <v>6</v>
      </c>
      <c r="O163" s="3" t="s">
        <v>25</v>
      </c>
      <c r="P163" s="3" t="s">
        <v>518</v>
      </c>
      <c r="Q163" s="3">
        <v>4</v>
      </c>
      <c r="R163" s="3">
        <v>3</v>
      </c>
      <c r="S163" s="3" t="s">
        <v>38</v>
      </c>
      <c r="T163" s="3" t="s">
        <v>47</v>
      </c>
    </row>
    <row r="164" spans="1:20" x14ac:dyDescent="0.35">
      <c r="A164" s="2" t="s">
        <v>519</v>
      </c>
      <c r="B164" s="2" t="s">
        <v>520</v>
      </c>
      <c r="C164" s="2">
        <v>47</v>
      </c>
      <c r="D164" s="2" t="s">
        <v>73</v>
      </c>
      <c r="E164" s="2" t="s">
        <v>127</v>
      </c>
      <c r="F164" s="2" t="s">
        <v>57</v>
      </c>
      <c r="G164" s="2">
        <v>25.1</v>
      </c>
      <c r="H164" s="2">
        <v>120</v>
      </c>
      <c r="I164" s="2">
        <v>87</v>
      </c>
      <c r="J164" s="2">
        <v>264</v>
      </c>
      <c r="K164" s="2">
        <v>236</v>
      </c>
      <c r="L164" s="2" t="s">
        <v>26</v>
      </c>
      <c r="M164" s="2">
        <v>2</v>
      </c>
      <c r="N164" s="2">
        <v>9</v>
      </c>
      <c r="O164" s="2" t="s">
        <v>36</v>
      </c>
      <c r="P164" s="2" t="s">
        <v>521</v>
      </c>
      <c r="Q164" s="2">
        <v>5</v>
      </c>
      <c r="R164" s="2">
        <v>12</v>
      </c>
      <c r="S164" s="2" t="s">
        <v>166</v>
      </c>
      <c r="T164" s="2" t="s">
        <v>26</v>
      </c>
    </row>
    <row r="165" spans="1:20" x14ac:dyDescent="0.35">
      <c r="A165" s="3" t="s">
        <v>522</v>
      </c>
      <c r="B165" s="3" t="s">
        <v>523</v>
      </c>
      <c r="C165" s="3">
        <v>22</v>
      </c>
      <c r="D165" s="3" t="s">
        <v>64</v>
      </c>
      <c r="E165" s="3" t="s">
        <v>42</v>
      </c>
      <c r="F165" s="3" t="s">
        <v>117</v>
      </c>
      <c r="G165" s="3">
        <v>21.6</v>
      </c>
      <c r="H165" s="3">
        <v>140</v>
      </c>
      <c r="I165" s="3">
        <v>99</v>
      </c>
      <c r="J165" s="3">
        <v>196</v>
      </c>
      <c r="K165" s="3">
        <v>233</v>
      </c>
      <c r="L165" s="3"/>
      <c r="M165" s="3">
        <v>1</v>
      </c>
      <c r="N165" s="3">
        <v>8</v>
      </c>
      <c r="O165" s="3" t="s">
        <v>29</v>
      </c>
      <c r="P165" s="3" t="s">
        <v>524</v>
      </c>
      <c r="Q165" s="3">
        <v>7</v>
      </c>
      <c r="R165" s="3">
        <v>11</v>
      </c>
      <c r="S165" s="3" t="s">
        <v>46</v>
      </c>
      <c r="T165" s="3" t="s">
        <v>61</v>
      </c>
    </row>
    <row r="166" spans="1:20" x14ac:dyDescent="0.35">
      <c r="A166" s="2" t="s">
        <v>525</v>
      </c>
      <c r="B166" s="2" t="s">
        <v>130</v>
      </c>
      <c r="C166" s="2">
        <v>50</v>
      </c>
      <c r="D166" s="2" t="s">
        <v>32</v>
      </c>
      <c r="E166" s="2" t="s">
        <v>74</v>
      </c>
      <c r="F166" s="2" t="s">
        <v>52</v>
      </c>
      <c r="G166" s="2">
        <v>23.2</v>
      </c>
      <c r="H166" s="2">
        <v>108</v>
      </c>
      <c r="I166" s="2">
        <v>82</v>
      </c>
      <c r="J166" s="2"/>
      <c r="K166" s="2">
        <v>97</v>
      </c>
      <c r="L166" s="2" t="s">
        <v>25</v>
      </c>
      <c r="M166" s="2">
        <v>0</v>
      </c>
      <c r="N166" s="2">
        <v>7</v>
      </c>
      <c r="O166" s="2" t="s">
        <v>76</v>
      </c>
      <c r="P166" s="2" t="s">
        <v>526</v>
      </c>
      <c r="Q166" s="2">
        <v>15</v>
      </c>
      <c r="R166" s="2">
        <v>12</v>
      </c>
      <c r="S166" s="2" t="s">
        <v>46</v>
      </c>
      <c r="T166" s="2" t="s">
        <v>100</v>
      </c>
    </row>
    <row r="167" spans="1:20" x14ac:dyDescent="0.35">
      <c r="A167" s="3" t="s">
        <v>527</v>
      </c>
      <c r="B167" s="3" t="s">
        <v>528</v>
      </c>
      <c r="C167" s="3">
        <v>52</v>
      </c>
      <c r="D167" s="3" t="s">
        <v>22</v>
      </c>
      <c r="E167" s="3" t="s">
        <v>33</v>
      </c>
      <c r="F167" s="3" t="s">
        <v>90</v>
      </c>
      <c r="G167" s="3">
        <v>18.8</v>
      </c>
      <c r="H167" s="3">
        <v>104</v>
      </c>
      <c r="I167" s="3">
        <v>78</v>
      </c>
      <c r="J167" s="3">
        <v>145</v>
      </c>
      <c r="K167" s="3">
        <v>151</v>
      </c>
      <c r="L167" s="3" t="s">
        <v>29</v>
      </c>
      <c r="M167" s="3">
        <v>1</v>
      </c>
      <c r="N167" s="3">
        <v>2</v>
      </c>
      <c r="O167" s="3" t="s">
        <v>36</v>
      </c>
      <c r="P167" s="3" t="s">
        <v>529</v>
      </c>
      <c r="Q167" s="3">
        <v>2</v>
      </c>
      <c r="R167" s="3">
        <v>17</v>
      </c>
      <c r="S167" s="3" t="s">
        <v>92</v>
      </c>
      <c r="T167" s="3" t="s">
        <v>47</v>
      </c>
    </row>
    <row r="168" spans="1:20" x14ac:dyDescent="0.35">
      <c r="A168" s="2" t="s">
        <v>530</v>
      </c>
      <c r="B168" s="2" t="s">
        <v>531</v>
      </c>
      <c r="C168" s="2">
        <v>52</v>
      </c>
      <c r="D168" s="2" t="s">
        <v>32</v>
      </c>
      <c r="E168" s="2" t="s">
        <v>65</v>
      </c>
      <c r="F168" s="2" t="s">
        <v>24</v>
      </c>
      <c r="G168" s="2">
        <v>32.200000000000003</v>
      </c>
      <c r="H168" s="2">
        <v>155</v>
      </c>
      <c r="I168" s="2">
        <v>70</v>
      </c>
      <c r="J168" s="2">
        <v>153</v>
      </c>
      <c r="K168" s="2">
        <v>95</v>
      </c>
      <c r="L168" s="2" t="s">
        <v>26</v>
      </c>
      <c r="M168" s="2">
        <v>3</v>
      </c>
      <c r="N168" s="2">
        <v>4</v>
      </c>
      <c r="O168" s="2" t="s">
        <v>44</v>
      </c>
      <c r="P168" s="2" t="s">
        <v>532</v>
      </c>
      <c r="Q168" s="2">
        <v>9</v>
      </c>
      <c r="R168" s="2">
        <v>7</v>
      </c>
      <c r="S168" s="2" t="s">
        <v>92</v>
      </c>
      <c r="T168" s="2" t="s">
        <v>25</v>
      </c>
    </row>
    <row r="169" spans="1:20" x14ac:dyDescent="0.35">
      <c r="A169" s="3" t="s">
        <v>533</v>
      </c>
      <c r="B169" s="3" t="s">
        <v>534</v>
      </c>
      <c r="C169" s="3">
        <v>57</v>
      </c>
      <c r="D169" s="3" t="s">
        <v>54</v>
      </c>
      <c r="E169" s="3" t="s">
        <v>33</v>
      </c>
      <c r="F169" s="3" t="s">
        <v>117</v>
      </c>
      <c r="G169" s="3">
        <v>26</v>
      </c>
      <c r="H169" s="3">
        <v>154</v>
      </c>
      <c r="I169" s="3">
        <v>65</v>
      </c>
      <c r="J169" s="3">
        <v>215</v>
      </c>
      <c r="K169" s="3">
        <v>239</v>
      </c>
      <c r="L169" s="3"/>
      <c r="M169" s="3">
        <v>7</v>
      </c>
      <c r="N169" s="3">
        <v>4</v>
      </c>
      <c r="O169" s="3" t="s">
        <v>35</v>
      </c>
      <c r="P169" s="3" t="s">
        <v>535</v>
      </c>
      <c r="Q169" s="3">
        <v>20</v>
      </c>
      <c r="R169" s="3">
        <v>9</v>
      </c>
      <c r="S169" s="3" t="s">
        <v>92</v>
      </c>
      <c r="T169" s="3" t="s">
        <v>54</v>
      </c>
    </row>
    <row r="170" spans="1:20" x14ac:dyDescent="0.35">
      <c r="A170" s="2" t="s">
        <v>536</v>
      </c>
      <c r="B170" s="2" t="s">
        <v>537</v>
      </c>
      <c r="C170" s="2">
        <v>47</v>
      </c>
      <c r="D170" s="2" t="s">
        <v>54</v>
      </c>
      <c r="E170" s="2" t="s">
        <v>81</v>
      </c>
      <c r="F170" s="2" t="s">
        <v>57</v>
      </c>
      <c r="G170" s="2">
        <v>19.3</v>
      </c>
      <c r="H170" s="2">
        <v>169</v>
      </c>
      <c r="I170" s="2">
        <v>84</v>
      </c>
      <c r="J170" s="2">
        <v>187</v>
      </c>
      <c r="K170" s="2">
        <v>164</v>
      </c>
      <c r="L170" s="2" t="s">
        <v>58</v>
      </c>
      <c r="M170" s="2">
        <v>5</v>
      </c>
      <c r="N170" s="2">
        <v>3</v>
      </c>
      <c r="O170" s="2" t="s">
        <v>76</v>
      </c>
      <c r="P170" s="2" t="s">
        <v>538</v>
      </c>
      <c r="Q170" s="2">
        <v>14</v>
      </c>
      <c r="R170" s="2">
        <v>8</v>
      </c>
      <c r="S170" s="2" t="s">
        <v>78</v>
      </c>
      <c r="T170" s="2" t="s">
        <v>26</v>
      </c>
    </row>
    <row r="171" spans="1:20" x14ac:dyDescent="0.35">
      <c r="A171" s="3" t="s">
        <v>539</v>
      </c>
      <c r="B171" s="3" t="s">
        <v>372</v>
      </c>
      <c r="C171" s="3">
        <v>31</v>
      </c>
      <c r="D171" s="3" t="s">
        <v>73</v>
      </c>
      <c r="E171" s="3" t="s">
        <v>131</v>
      </c>
      <c r="F171" s="3" t="s">
        <v>43</v>
      </c>
      <c r="G171" s="3">
        <v>37.200000000000003</v>
      </c>
      <c r="H171" s="3">
        <v>152</v>
      </c>
      <c r="I171" s="3">
        <v>97</v>
      </c>
      <c r="J171" s="3">
        <v>198</v>
      </c>
      <c r="K171" s="3">
        <v>211</v>
      </c>
      <c r="L171" s="3" t="s">
        <v>25</v>
      </c>
      <c r="M171" s="3">
        <v>6</v>
      </c>
      <c r="N171" s="3">
        <v>9</v>
      </c>
      <c r="O171" s="3" t="s">
        <v>44</v>
      </c>
      <c r="P171" s="3" t="s">
        <v>540</v>
      </c>
      <c r="Q171" s="3">
        <v>15</v>
      </c>
      <c r="R171" s="3">
        <v>9</v>
      </c>
      <c r="S171" s="3" t="s">
        <v>92</v>
      </c>
      <c r="T171" s="3"/>
    </row>
    <row r="172" spans="1:20" x14ac:dyDescent="0.35">
      <c r="A172" s="2" t="s">
        <v>541</v>
      </c>
      <c r="B172" s="2" t="s">
        <v>542</v>
      </c>
      <c r="C172" s="2">
        <v>58</v>
      </c>
      <c r="D172" s="2" t="s">
        <v>50</v>
      </c>
      <c r="E172" s="2" t="s">
        <v>131</v>
      </c>
      <c r="F172" s="2" t="s">
        <v>90</v>
      </c>
      <c r="G172" s="2">
        <v>21.3</v>
      </c>
      <c r="H172" s="2">
        <v>121</v>
      </c>
      <c r="I172" s="2">
        <v>73</v>
      </c>
      <c r="J172" s="2">
        <v>189</v>
      </c>
      <c r="K172" s="2">
        <v>102</v>
      </c>
      <c r="L172" s="2" t="s">
        <v>25</v>
      </c>
      <c r="M172" s="2">
        <v>6</v>
      </c>
      <c r="N172" s="2">
        <v>2</v>
      </c>
      <c r="O172" s="2" t="s">
        <v>44</v>
      </c>
      <c r="P172" s="2" t="s">
        <v>543</v>
      </c>
      <c r="Q172" s="2">
        <v>19</v>
      </c>
      <c r="R172" s="2">
        <v>8</v>
      </c>
      <c r="S172" s="2" t="s">
        <v>46</v>
      </c>
      <c r="T172" s="2" t="s">
        <v>35</v>
      </c>
    </row>
    <row r="173" spans="1:20" x14ac:dyDescent="0.35">
      <c r="A173" s="3" t="s">
        <v>544</v>
      </c>
      <c r="B173" s="3" t="s">
        <v>338</v>
      </c>
      <c r="C173" s="3">
        <v>57</v>
      </c>
      <c r="D173" s="3" t="s">
        <v>64</v>
      </c>
      <c r="E173" s="3" t="s">
        <v>51</v>
      </c>
      <c r="F173" s="3" t="s">
        <v>43</v>
      </c>
      <c r="G173" s="3">
        <v>38.4</v>
      </c>
      <c r="H173" s="3">
        <v>166</v>
      </c>
      <c r="I173" s="3">
        <v>89</v>
      </c>
      <c r="J173" s="3">
        <v>143</v>
      </c>
      <c r="K173" s="3">
        <v>249</v>
      </c>
      <c r="L173" s="3"/>
      <c r="M173" s="3" t="s">
        <v>54</v>
      </c>
      <c r="N173" s="3">
        <v>9</v>
      </c>
      <c r="O173" s="3" t="s">
        <v>44</v>
      </c>
      <c r="P173" s="3" t="s">
        <v>545</v>
      </c>
      <c r="Q173" s="3">
        <v>4</v>
      </c>
      <c r="R173" s="3">
        <v>18</v>
      </c>
      <c r="S173" s="3" t="s">
        <v>54</v>
      </c>
      <c r="T173" s="3" t="s">
        <v>35</v>
      </c>
    </row>
    <row r="174" spans="1:20" x14ac:dyDescent="0.35">
      <c r="A174" s="2" t="s">
        <v>546</v>
      </c>
      <c r="B174" s="2" t="s">
        <v>547</v>
      </c>
      <c r="C174" s="2">
        <v>28</v>
      </c>
      <c r="D174" s="2" t="s">
        <v>41</v>
      </c>
      <c r="E174" s="2" t="s">
        <v>51</v>
      </c>
      <c r="F174" s="2" t="s">
        <v>43</v>
      </c>
      <c r="G174" s="2">
        <v>38.9</v>
      </c>
      <c r="H174" s="2">
        <v>133</v>
      </c>
      <c r="I174" s="2">
        <v>84</v>
      </c>
      <c r="J174" s="2">
        <v>264</v>
      </c>
      <c r="K174" s="2">
        <v>216</v>
      </c>
      <c r="L174" s="2"/>
      <c r="M174" s="2">
        <v>7</v>
      </c>
      <c r="N174" s="2">
        <v>1</v>
      </c>
      <c r="O174" s="2" t="s">
        <v>29</v>
      </c>
      <c r="P174" s="2" t="s">
        <v>548</v>
      </c>
      <c r="Q174" s="2">
        <v>19</v>
      </c>
      <c r="R174" s="2">
        <v>19</v>
      </c>
      <c r="S174" s="2"/>
      <c r="T174" s="2"/>
    </row>
    <row r="175" spans="1:20" x14ac:dyDescent="0.35">
      <c r="A175" s="3" t="s">
        <v>549</v>
      </c>
      <c r="B175" s="3" t="s">
        <v>359</v>
      </c>
      <c r="C175" s="3">
        <v>43</v>
      </c>
      <c r="D175" s="3" t="s">
        <v>22</v>
      </c>
      <c r="E175" s="3" t="s">
        <v>161</v>
      </c>
      <c r="F175" s="3" t="s">
        <v>90</v>
      </c>
      <c r="G175" s="3">
        <v>40</v>
      </c>
      <c r="H175" s="3">
        <v>147</v>
      </c>
      <c r="I175" s="3">
        <v>61</v>
      </c>
      <c r="J175" s="3">
        <v>226</v>
      </c>
      <c r="K175" s="3">
        <v>147</v>
      </c>
      <c r="L175" s="3" t="s">
        <v>29</v>
      </c>
      <c r="M175" s="3">
        <v>4</v>
      </c>
      <c r="N175" s="3">
        <v>8</v>
      </c>
      <c r="O175" s="3" t="s">
        <v>35</v>
      </c>
      <c r="P175" s="3" t="s">
        <v>550</v>
      </c>
      <c r="Q175" s="3">
        <v>14</v>
      </c>
      <c r="R175" s="3">
        <v>10</v>
      </c>
      <c r="S175" s="3" t="s">
        <v>166</v>
      </c>
      <c r="T175" s="3"/>
    </row>
    <row r="176" spans="1:20" x14ac:dyDescent="0.35">
      <c r="A176" s="2" t="s">
        <v>551</v>
      </c>
      <c r="B176" s="2" t="s">
        <v>105</v>
      </c>
      <c r="C176" s="2">
        <v>34</v>
      </c>
      <c r="D176" s="2" t="s">
        <v>54</v>
      </c>
      <c r="E176" s="2" t="s">
        <v>23</v>
      </c>
      <c r="F176" s="2" t="s">
        <v>34</v>
      </c>
      <c r="G176" s="2">
        <v>35.5</v>
      </c>
      <c r="H176" s="2">
        <v>166</v>
      </c>
      <c r="I176" s="2">
        <v>83</v>
      </c>
      <c r="J176" s="2">
        <v>154</v>
      </c>
      <c r="K176" s="2">
        <v>201</v>
      </c>
      <c r="L176" s="2" t="s">
        <v>107</v>
      </c>
      <c r="M176" s="2">
        <v>1</v>
      </c>
      <c r="N176" s="2">
        <v>5</v>
      </c>
      <c r="O176" s="2" t="s">
        <v>44</v>
      </c>
      <c r="P176" s="2" t="s">
        <v>552</v>
      </c>
      <c r="Q176" s="2">
        <v>0</v>
      </c>
      <c r="R176" s="2">
        <v>5</v>
      </c>
      <c r="S176" s="2" t="s">
        <v>78</v>
      </c>
      <c r="T176" s="2" t="s">
        <v>29</v>
      </c>
    </row>
    <row r="177" spans="1:20" x14ac:dyDescent="0.35">
      <c r="A177" s="3" t="s">
        <v>553</v>
      </c>
      <c r="B177" s="3" t="s">
        <v>554</v>
      </c>
      <c r="C177" s="3">
        <v>24</v>
      </c>
      <c r="D177" s="3" t="s">
        <v>54</v>
      </c>
      <c r="E177" s="3" t="s">
        <v>161</v>
      </c>
      <c r="F177" s="3" t="s">
        <v>43</v>
      </c>
      <c r="G177" s="3">
        <v>34.6</v>
      </c>
      <c r="H177" s="3">
        <v>135</v>
      </c>
      <c r="I177" s="3">
        <v>83</v>
      </c>
      <c r="J177" s="3">
        <v>258</v>
      </c>
      <c r="K177" s="3">
        <v>199</v>
      </c>
      <c r="L177" s="3" t="s">
        <v>58</v>
      </c>
      <c r="M177" s="3" t="s">
        <v>67</v>
      </c>
      <c r="N177" s="3">
        <v>2</v>
      </c>
      <c r="O177" s="3" t="s">
        <v>25</v>
      </c>
      <c r="P177" s="3" t="s">
        <v>555</v>
      </c>
      <c r="Q177" s="3">
        <v>19</v>
      </c>
      <c r="R177" s="3">
        <v>14</v>
      </c>
      <c r="S177" s="3" t="s">
        <v>60</v>
      </c>
      <c r="T177" s="3" t="s">
        <v>54</v>
      </c>
    </row>
    <row r="178" spans="1:20" x14ac:dyDescent="0.35">
      <c r="A178" s="2" t="s">
        <v>556</v>
      </c>
      <c r="B178" s="2" t="s">
        <v>557</v>
      </c>
      <c r="C178" s="2">
        <v>44</v>
      </c>
      <c r="D178" s="2" t="s">
        <v>106</v>
      </c>
      <c r="E178" s="2" t="s">
        <v>33</v>
      </c>
      <c r="F178" s="2" t="s">
        <v>57</v>
      </c>
      <c r="G178" s="2">
        <v>35.700000000000003</v>
      </c>
      <c r="H178" s="2">
        <v>111</v>
      </c>
      <c r="I178" s="2">
        <v>78</v>
      </c>
      <c r="J178" s="2">
        <v>147</v>
      </c>
      <c r="K178" s="2">
        <v>168</v>
      </c>
      <c r="L178" s="2" t="s">
        <v>25</v>
      </c>
      <c r="M178" s="2">
        <v>2</v>
      </c>
      <c r="N178" s="2">
        <v>10</v>
      </c>
      <c r="O178" s="2" t="s">
        <v>26</v>
      </c>
      <c r="P178" s="2" t="s">
        <v>354</v>
      </c>
      <c r="Q178" s="2">
        <v>6</v>
      </c>
      <c r="R178" s="2">
        <v>8</v>
      </c>
      <c r="S178" s="2"/>
      <c r="T178" s="2"/>
    </row>
    <row r="179" spans="1:20" x14ac:dyDescent="0.35">
      <c r="A179" s="3" t="s">
        <v>558</v>
      </c>
      <c r="B179" s="3" t="s">
        <v>559</v>
      </c>
      <c r="C179" s="3">
        <v>22</v>
      </c>
      <c r="D179" s="3" t="s">
        <v>54</v>
      </c>
      <c r="E179" s="3" t="s">
        <v>33</v>
      </c>
      <c r="F179" s="3" t="s">
        <v>24</v>
      </c>
      <c r="G179" s="3">
        <v>32</v>
      </c>
      <c r="H179" s="3">
        <v>101</v>
      </c>
      <c r="I179" s="3">
        <v>74</v>
      </c>
      <c r="J179" s="3">
        <v>204</v>
      </c>
      <c r="K179" s="3">
        <v>225</v>
      </c>
      <c r="L179" s="3" t="s">
        <v>29</v>
      </c>
      <c r="M179" s="3" t="s">
        <v>67</v>
      </c>
      <c r="N179" s="3">
        <v>5</v>
      </c>
      <c r="O179" s="3" t="s">
        <v>44</v>
      </c>
      <c r="P179" s="3" t="s">
        <v>560</v>
      </c>
      <c r="Q179" s="3">
        <v>8</v>
      </c>
      <c r="R179" s="3">
        <v>6</v>
      </c>
      <c r="S179" s="3" t="s">
        <v>70</v>
      </c>
      <c r="T179" s="3" t="s">
        <v>26</v>
      </c>
    </row>
    <row r="180" spans="1:20" x14ac:dyDescent="0.35">
      <c r="A180" s="2" t="s">
        <v>561</v>
      </c>
      <c r="B180" s="2" t="s">
        <v>562</v>
      </c>
      <c r="C180" s="2">
        <v>47</v>
      </c>
      <c r="D180" s="2" t="s">
        <v>73</v>
      </c>
      <c r="E180" s="2" t="s">
        <v>161</v>
      </c>
      <c r="F180" s="2" t="s">
        <v>75</v>
      </c>
      <c r="G180" s="2">
        <v>42</v>
      </c>
      <c r="H180" s="2">
        <v>147</v>
      </c>
      <c r="I180" s="2">
        <v>95</v>
      </c>
      <c r="J180" s="2">
        <v>212</v>
      </c>
      <c r="K180" s="2">
        <v>146</v>
      </c>
      <c r="L180" s="2" t="s">
        <v>35</v>
      </c>
      <c r="M180" s="2">
        <v>7</v>
      </c>
      <c r="N180" s="2">
        <v>2</v>
      </c>
      <c r="O180" s="2" t="s">
        <v>36</v>
      </c>
      <c r="P180" s="2" t="s">
        <v>563</v>
      </c>
      <c r="Q180" s="2">
        <v>8</v>
      </c>
      <c r="R180" s="2">
        <v>8</v>
      </c>
      <c r="S180" s="2"/>
      <c r="T180" s="2" t="s">
        <v>26</v>
      </c>
    </row>
    <row r="181" spans="1:20" x14ac:dyDescent="0.35">
      <c r="A181" s="3" t="s">
        <v>564</v>
      </c>
      <c r="B181" s="3" t="s">
        <v>565</v>
      </c>
      <c r="C181" s="3">
        <v>55</v>
      </c>
      <c r="D181" s="3" t="s">
        <v>22</v>
      </c>
      <c r="E181" s="3" t="s">
        <v>161</v>
      </c>
      <c r="F181" s="3" t="s">
        <v>66</v>
      </c>
      <c r="G181" s="3">
        <v>27.1</v>
      </c>
      <c r="H181" s="3">
        <v>140</v>
      </c>
      <c r="I181" s="3">
        <v>103</v>
      </c>
      <c r="J181" s="3">
        <v>175</v>
      </c>
      <c r="K181" s="3">
        <v>76</v>
      </c>
      <c r="L181" s="3" t="s">
        <v>44</v>
      </c>
      <c r="M181" s="3">
        <v>4</v>
      </c>
      <c r="N181" s="3"/>
      <c r="O181" s="3" t="s">
        <v>44</v>
      </c>
      <c r="P181" s="3" t="s">
        <v>158</v>
      </c>
      <c r="Q181" s="3"/>
      <c r="R181" s="3">
        <v>18</v>
      </c>
      <c r="S181" s="3" t="s">
        <v>46</v>
      </c>
      <c r="T181" s="3" t="s">
        <v>29</v>
      </c>
    </row>
    <row r="182" spans="1:20" x14ac:dyDescent="0.35">
      <c r="A182" s="2" t="s">
        <v>566</v>
      </c>
      <c r="B182" s="2" t="s">
        <v>189</v>
      </c>
      <c r="C182" s="2">
        <v>44</v>
      </c>
      <c r="D182" s="2" t="s">
        <v>41</v>
      </c>
      <c r="E182" s="2" t="s">
        <v>33</v>
      </c>
      <c r="F182" s="2" t="s">
        <v>75</v>
      </c>
      <c r="G182" s="2">
        <v>21.5</v>
      </c>
      <c r="H182" s="2">
        <v>112</v>
      </c>
      <c r="I182" s="2">
        <v>90</v>
      </c>
      <c r="J182" s="2">
        <v>172</v>
      </c>
      <c r="K182" s="2">
        <v>136</v>
      </c>
      <c r="L182" s="2" t="s">
        <v>76</v>
      </c>
      <c r="M182" s="2">
        <v>2</v>
      </c>
      <c r="N182" s="2">
        <v>6</v>
      </c>
      <c r="O182" s="2" t="s">
        <v>35</v>
      </c>
      <c r="P182" s="2" t="s">
        <v>567</v>
      </c>
      <c r="Q182" s="2">
        <v>9</v>
      </c>
      <c r="R182" s="2">
        <v>13</v>
      </c>
      <c r="S182" s="2" t="s">
        <v>46</v>
      </c>
      <c r="T182" s="2" t="s">
        <v>47</v>
      </c>
    </row>
    <row r="183" spans="1:20" x14ac:dyDescent="0.35">
      <c r="A183" s="3" t="s">
        <v>568</v>
      </c>
      <c r="B183" s="3" t="s">
        <v>174</v>
      </c>
      <c r="C183" s="3">
        <v>40</v>
      </c>
      <c r="D183" s="3" t="s">
        <v>54</v>
      </c>
      <c r="E183" s="3" t="s">
        <v>131</v>
      </c>
      <c r="F183" s="3" t="s">
        <v>90</v>
      </c>
      <c r="G183" s="3">
        <v>18.3</v>
      </c>
      <c r="H183" s="3">
        <v>109</v>
      </c>
      <c r="I183" s="3">
        <v>90</v>
      </c>
      <c r="J183" s="3">
        <v>189</v>
      </c>
      <c r="K183" s="3">
        <v>198</v>
      </c>
      <c r="L183" s="3" t="s">
        <v>35</v>
      </c>
      <c r="M183" s="3" t="s">
        <v>67</v>
      </c>
      <c r="N183" s="3">
        <v>7</v>
      </c>
      <c r="O183" s="3" t="s">
        <v>68</v>
      </c>
      <c r="P183" s="3" t="s">
        <v>569</v>
      </c>
      <c r="Q183" s="3">
        <v>4</v>
      </c>
      <c r="R183" s="3">
        <v>4</v>
      </c>
      <c r="S183" s="3" t="s">
        <v>78</v>
      </c>
      <c r="T183" s="3" t="s">
        <v>47</v>
      </c>
    </row>
    <row r="184" spans="1:20" x14ac:dyDescent="0.35">
      <c r="A184" s="2" t="s">
        <v>570</v>
      </c>
      <c r="B184" s="2" t="s">
        <v>571</v>
      </c>
      <c r="C184" s="2">
        <v>51</v>
      </c>
      <c r="D184" s="2" t="s">
        <v>50</v>
      </c>
      <c r="E184" s="2" t="s">
        <v>127</v>
      </c>
      <c r="F184" s="2" t="s">
        <v>24</v>
      </c>
      <c r="G184" s="2">
        <v>36.5</v>
      </c>
      <c r="H184" s="2">
        <v>162</v>
      </c>
      <c r="I184" s="2">
        <v>81</v>
      </c>
      <c r="J184" s="2">
        <v>185</v>
      </c>
      <c r="K184" s="2">
        <v>150</v>
      </c>
      <c r="L184" s="2" t="s">
        <v>25</v>
      </c>
      <c r="M184" s="2">
        <v>0</v>
      </c>
      <c r="N184" s="2">
        <v>8</v>
      </c>
      <c r="O184" s="2" t="s">
        <v>68</v>
      </c>
      <c r="P184" s="2" t="s">
        <v>572</v>
      </c>
      <c r="Q184" s="2">
        <v>5</v>
      </c>
      <c r="R184" s="2">
        <v>15</v>
      </c>
      <c r="S184" s="2" t="s">
        <v>92</v>
      </c>
      <c r="T184" s="2" t="s">
        <v>61</v>
      </c>
    </row>
    <row r="185" spans="1:20" x14ac:dyDescent="0.35">
      <c r="A185" s="3" t="s">
        <v>573</v>
      </c>
      <c r="B185" s="3" t="s">
        <v>310</v>
      </c>
      <c r="C185" s="3">
        <v>62</v>
      </c>
      <c r="D185" s="3" t="s">
        <v>64</v>
      </c>
      <c r="E185" s="3" t="s">
        <v>65</v>
      </c>
      <c r="F185" s="3" t="s">
        <v>34</v>
      </c>
      <c r="G185" s="3">
        <v>41.1</v>
      </c>
      <c r="H185" s="3">
        <v>149</v>
      </c>
      <c r="I185" s="3">
        <v>60</v>
      </c>
      <c r="J185" s="3">
        <v>149</v>
      </c>
      <c r="K185" s="3">
        <v>206</v>
      </c>
      <c r="L185" s="3" t="s">
        <v>86</v>
      </c>
      <c r="M185" s="3">
        <v>5</v>
      </c>
      <c r="N185" s="3">
        <v>1</v>
      </c>
      <c r="O185" s="3" t="s">
        <v>36</v>
      </c>
      <c r="P185" s="3" t="s">
        <v>574</v>
      </c>
      <c r="Q185" s="3">
        <v>0</v>
      </c>
      <c r="R185" s="3">
        <v>20</v>
      </c>
      <c r="S185" s="3" t="s">
        <v>78</v>
      </c>
      <c r="T185" s="3" t="s">
        <v>29</v>
      </c>
    </row>
    <row r="186" spans="1:20" x14ac:dyDescent="0.35">
      <c r="A186" s="2" t="s">
        <v>575</v>
      </c>
      <c r="B186" s="2" t="s">
        <v>576</v>
      </c>
      <c r="C186" s="2">
        <v>30</v>
      </c>
      <c r="D186" s="2" t="s">
        <v>73</v>
      </c>
      <c r="E186" s="2" t="s">
        <v>65</v>
      </c>
      <c r="F186" s="2" t="s">
        <v>75</v>
      </c>
      <c r="G186" s="2">
        <v>31.7</v>
      </c>
      <c r="H186" s="2">
        <v>121</v>
      </c>
      <c r="I186" s="2">
        <v>64</v>
      </c>
      <c r="J186" s="2">
        <v>151</v>
      </c>
      <c r="K186" s="2">
        <v>146</v>
      </c>
      <c r="L186" s="2" t="s">
        <v>29</v>
      </c>
      <c r="M186" s="2">
        <v>7</v>
      </c>
      <c r="N186" s="2">
        <v>9</v>
      </c>
      <c r="O186" s="2" t="s">
        <v>36</v>
      </c>
      <c r="P186" s="2" t="s">
        <v>207</v>
      </c>
      <c r="Q186" s="2">
        <v>10</v>
      </c>
      <c r="R186" s="2">
        <v>15</v>
      </c>
      <c r="S186" s="2" t="s">
        <v>46</v>
      </c>
      <c r="T186" s="2" t="s">
        <v>29</v>
      </c>
    </row>
    <row r="187" spans="1:20" x14ac:dyDescent="0.35">
      <c r="A187" s="3" t="s">
        <v>577</v>
      </c>
      <c r="B187" s="3" t="s">
        <v>578</v>
      </c>
      <c r="C187" s="3">
        <v>23</v>
      </c>
      <c r="D187" s="3" t="s">
        <v>22</v>
      </c>
      <c r="E187" s="3" t="s">
        <v>23</v>
      </c>
      <c r="F187" s="3" t="s">
        <v>24</v>
      </c>
      <c r="G187" s="3">
        <v>22.3</v>
      </c>
      <c r="H187" s="3">
        <v>102</v>
      </c>
      <c r="I187" s="3">
        <v>97</v>
      </c>
      <c r="J187" s="3">
        <v>269</v>
      </c>
      <c r="K187" s="3">
        <v>113</v>
      </c>
      <c r="L187" s="3" t="s">
        <v>35</v>
      </c>
      <c r="M187" s="3">
        <v>5</v>
      </c>
      <c r="N187" s="3">
        <v>1</v>
      </c>
      <c r="O187" s="3" t="s">
        <v>44</v>
      </c>
      <c r="P187" s="3" t="s">
        <v>579</v>
      </c>
      <c r="Q187" s="3">
        <v>1</v>
      </c>
      <c r="R187" s="3">
        <v>19</v>
      </c>
      <c r="S187" s="3" t="s">
        <v>99</v>
      </c>
      <c r="T187" s="3" t="s">
        <v>35</v>
      </c>
    </row>
    <row r="188" spans="1:20" x14ac:dyDescent="0.35">
      <c r="A188" s="2" t="s">
        <v>580</v>
      </c>
      <c r="B188" s="2" t="s">
        <v>581</v>
      </c>
      <c r="C188" s="2">
        <v>29</v>
      </c>
      <c r="D188" s="2" t="s">
        <v>64</v>
      </c>
      <c r="E188" s="2" t="s">
        <v>81</v>
      </c>
      <c r="F188" s="2" t="s">
        <v>34</v>
      </c>
      <c r="G188" s="2">
        <v>20.100000000000001</v>
      </c>
      <c r="H188" s="2">
        <v>132</v>
      </c>
      <c r="I188" s="2">
        <v>90</v>
      </c>
      <c r="J188" s="2">
        <v>179</v>
      </c>
      <c r="K188" s="2">
        <v>122</v>
      </c>
      <c r="L188" s="2" t="s">
        <v>25</v>
      </c>
      <c r="M188" s="2">
        <v>4</v>
      </c>
      <c r="N188" s="2">
        <v>7</v>
      </c>
      <c r="O188" s="2" t="s">
        <v>35</v>
      </c>
      <c r="P188" s="2" t="s">
        <v>582</v>
      </c>
      <c r="Q188" s="2">
        <v>4</v>
      </c>
      <c r="R188" s="2">
        <v>13</v>
      </c>
      <c r="S188" s="2" t="s">
        <v>92</v>
      </c>
      <c r="T188" s="2" t="s">
        <v>100</v>
      </c>
    </row>
    <row r="189" spans="1:20" x14ac:dyDescent="0.35">
      <c r="A189" s="3" t="s">
        <v>583</v>
      </c>
      <c r="B189" s="3" t="s">
        <v>584</v>
      </c>
      <c r="C189" s="3">
        <v>40</v>
      </c>
      <c r="D189" s="3" t="s">
        <v>73</v>
      </c>
      <c r="E189" s="3" t="s">
        <v>131</v>
      </c>
      <c r="F189" s="3" t="s">
        <v>90</v>
      </c>
      <c r="G189" s="3">
        <v>22</v>
      </c>
      <c r="H189" s="3">
        <v>125</v>
      </c>
      <c r="I189" s="3">
        <v>76</v>
      </c>
      <c r="J189" s="3">
        <v>273</v>
      </c>
      <c r="K189" s="3">
        <v>121</v>
      </c>
      <c r="L189" s="3" t="s">
        <v>26</v>
      </c>
      <c r="M189" s="3">
        <v>6</v>
      </c>
      <c r="N189" s="3">
        <v>5</v>
      </c>
      <c r="O189" s="3" t="s">
        <v>29</v>
      </c>
      <c r="P189" s="3" t="s">
        <v>585</v>
      </c>
      <c r="Q189" s="3">
        <v>6</v>
      </c>
      <c r="R189" s="3">
        <v>15</v>
      </c>
      <c r="S189" s="3" t="s">
        <v>46</v>
      </c>
      <c r="T189" s="3" t="s">
        <v>29</v>
      </c>
    </row>
    <row r="190" spans="1:20" x14ac:dyDescent="0.35">
      <c r="A190" s="2" t="s">
        <v>586</v>
      </c>
      <c r="B190" s="2" t="s">
        <v>587</v>
      </c>
      <c r="C190" s="2">
        <v>27</v>
      </c>
      <c r="D190" s="2" t="s">
        <v>73</v>
      </c>
      <c r="E190" s="2" t="s">
        <v>42</v>
      </c>
      <c r="F190" s="2" t="s">
        <v>90</v>
      </c>
      <c r="G190" s="2">
        <v>20.7</v>
      </c>
      <c r="H190" s="2">
        <v>111</v>
      </c>
      <c r="I190" s="2">
        <v>92</v>
      </c>
      <c r="J190" s="2">
        <v>159</v>
      </c>
      <c r="K190" s="2">
        <v>95</v>
      </c>
      <c r="L190" s="2" t="s">
        <v>29</v>
      </c>
      <c r="M190" s="2" t="s">
        <v>67</v>
      </c>
      <c r="N190" s="2">
        <v>4</v>
      </c>
      <c r="O190" s="2" t="s">
        <v>76</v>
      </c>
      <c r="P190" s="2" t="s">
        <v>588</v>
      </c>
      <c r="Q190" s="2">
        <v>1</v>
      </c>
      <c r="R190" s="2">
        <v>3</v>
      </c>
      <c r="S190" s="2" t="s">
        <v>60</v>
      </c>
      <c r="T190" s="2" t="s">
        <v>25</v>
      </c>
    </row>
    <row r="191" spans="1:20" x14ac:dyDescent="0.35">
      <c r="A191" s="3" t="s">
        <v>589</v>
      </c>
      <c r="B191" s="3" t="s">
        <v>590</v>
      </c>
      <c r="C191" s="3">
        <v>42</v>
      </c>
      <c r="D191" s="3" t="s">
        <v>64</v>
      </c>
      <c r="E191" s="3" t="s">
        <v>131</v>
      </c>
      <c r="F191" s="3" t="s">
        <v>82</v>
      </c>
      <c r="G191" s="3">
        <v>38.299999999999997</v>
      </c>
      <c r="H191" s="3">
        <v>105</v>
      </c>
      <c r="I191" s="3">
        <v>60</v>
      </c>
      <c r="J191" s="3">
        <v>175</v>
      </c>
      <c r="K191" s="3">
        <v>239</v>
      </c>
      <c r="L191" s="3" t="s">
        <v>107</v>
      </c>
      <c r="M191" s="3">
        <v>5</v>
      </c>
      <c r="N191" s="3">
        <v>6</v>
      </c>
      <c r="O191" s="3" t="s">
        <v>76</v>
      </c>
      <c r="P191" s="3" t="s">
        <v>524</v>
      </c>
      <c r="Q191" s="3">
        <v>11</v>
      </c>
      <c r="R191" s="3">
        <v>10</v>
      </c>
      <c r="S191" s="3" t="s">
        <v>60</v>
      </c>
      <c r="T191" s="3" t="s">
        <v>35</v>
      </c>
    </row>
    <row r="192" spans="1:20" x14ac:dyDescent="0.35">
      <c r="A192" s="2" t="s">
        <v>591</v>
      </c>
      <c r="B192" s="2" t="s">
        <v>206</v>
      </c>
      <c r="C192" s="2">
        <v>51</v>
      </c>
      <c r="D192" s="2" t="s">
        <v>41</v>
      </c>
      <c r="E192" s="2" t="s">
        <v>65</v>
      </c>
      <c r="F192" s="2" t="s">
        <v>90</v>
      </c>
      <c r="G192" s="2">
        <v>37</v>
      </c>
      <c r="H192" s="2">
        <v>121</v>
      </c>
      <c r="I192" s="2">
        <v>67</v>
      </c>
      <c r="J192" s="2">
        <v>173</v>
      </c>
      <c r="K192" s="2">
        <v>248</v>
      </c>
      <c r="L192" s="2" t="s">
        <v>25</v>
      </c>
      <c r="M192" s="2">
        <v>2</v>
      </c>
      <c r="N192" s="2">
        <v>2</v>
      </c>
      <c r="O192" s="2" t="s">
        <v>44</v>
      </c>
      <c r="P192" s="2" t="s">
        <v>592</v>
      </c>
      <c r="Q192" s="2">
        <v>14</v>
      </c>
      <c r="R192" s="2">
        <v>5</v>
      </c>
      <c r="S192" s="2" t="s">
        <v>54</v>
      </c>
      <c r="T192" s="2"/>
    </row>
    <row r="193" spans="1:20" x14ac:dyDescent="0.35">
      <c r="A193" s="3" t="s">
        <v>593</v>
      </c>
      <c r="B193" s="3" t="s">
        <v>366</v>
      </c>
      <c r="C193" s="3">
        <v>23</v>
      </c>
      <c r="D193" s="3" t="s">
        <v>50</v>
      </c>
      <c r="E193" s="3" t="s">
        <v>81</v>
      </c>
      <c r="F193" s="3" t="s">
        <v>90</v>
      </c>
      <c r="G193" s="3">
        <v>19.8</v>
      </c>
      <c r="H193" s="3">
        <v>152</v>
      </c>
      <c r="I193" s="3">
        <v>88</v>
      </c>
      <c r="J193" s="3">
        <v>151</v>
      </c>
      <c r="K193" s="3">
        <v>86</v>
      </c>
      <c r="L193" s="3" t="s">
        <v>29</v>
      </c>
      <c r="M193" s="3" t="s">
        <v>67</v>
      </c>
      <c r="N193" s="3">
        <v>6</v>
      </c>
      <c r="O193" s="3" t="s">
        <v>25</v>
      </c>
      <c r="P193" s="3" t="s">
        <v>594</v>
      </c>
      <c r="Q193" s="3">
        <v>10</v>
      </c>
      <c r="R193" s="3">
        <v>16</v>
      </c>
      <c r="S193" s="3" t="s">
        <v>38</v>
      </c>
      <c r="T193" s="3" t="s">
        <v>35</v>
      </c>
    </row>
    <row r="194" spans="1:20" x14ac:dyDescent="0.35">
      <c r="A194" s="2" t="s">
        <v>595</v>
      </c>
      <c r="B194" s="2" t="s">
        <v>596</v>
      </c>
      <c r="C194" s="2">
        <v>52</v>
      </c>
      <c r="D194" s="2" t="s">
        <v>106</v>
      </c>
      <c r="E194" s="2" t="s">
        <v>65</v>
      </c>
      <c r="F194" s="2" t="s">
        <v>24</v>
      </c>
      <c r="G194" s="2">
        <v>38</v>
      </c>
      <c r="H194" s="2">
        <v>106</v>
      </c>
      <c r="I194" s="2">
        <v>60</v>
      </c>
      <c r="J194" s="2">
        <v>180</v>
      </c>
      <c r="K194" s="2">
        <v>199</v>
      </c>
      <c r="L194" s="2" t="s">
        <v>44</v>
      </c>
      <c r="M194" s="2">
        <v>7</v>
      </c>
      <c r="N194" s="2">
        <v>3</v>
      </c>
      <c r="O194" s="2" t="s">
        <v>35</v>
      </c>
      <c r="P194" s="2" t="s">
        <v>597</v>
      </c>
      <c r="Q194" s="2">
        <v>10</v>
      </c>
      <c r="R194" s="2">
        <v>8</v>
      </c>
      <c r="S194" s="2" t="s">
        <v>99</v>
      </c>
      <c r="T194" s="2" t="s">
        <v>100</v>
      </c>
    </row>
    <row r="195" spans="1:20" x14ac:dyDescent="0.35">
      <c r="A195" s="3" t="s">
        <v>598</v>
      </c>
      <c r="B195" s="3" t="s">
        <v>599</v>
      </c>
      <c r="C195" s="3">
        <v>46</v>
      </c>
      <c r="D195" s="3" t="s">
        <v>64</v>
      </c>
      <c r="E195" s="3" t="s">
        <v>23</v>
      </c>
      <c r="F195" s="3" t="s">
        <v>82</v>
      </c>
      <c r="G195" s="3">
        <v>28.5</v>
      </c>
      <c r="H195" s="3">
        <v>157</v>
      </c>
      <c r="I195" s="3">
        <v>65</v>
      </c>
      <c r="J195" s="3">
        <v>267</v>
      </c>
      <c r="K195" s="3">
        <v>184</v>
      </c>
      <c r="L195" s="3" t="s">
        <v>26</v>
      </c>
      <c r="M195" s="3">
        <v>1</v>
      </c>
      <c r="N195" s="3">
        <v>8</v>
      </c>
      <c r="O195" s="3" t="s">
        <v>25</v>
      </c>
      <c r="P195" s="3" t="s">
        <v>600</v>
      </c>
      <c r="Q195" s="3">
        <v>1</v>
      </c>
      <c r="R195" s="3">
        <v>17</v>
      </c>
      <c r="S195" s="3" t="s">
        <v>38</v>
      </c>
      <c r="T195" s="3" t="s">
        <v>25</v>
      </c>
    </row>
    <row r="196" spans="1:20" x14ac:dyDescent="0.35">
      <c r="A196" s="2" t="s">
        <v>601</v>
      </c>
      <c r="B196" s="2" t="s">
        <v>602</v>
      </c>
      <c r="C196" s="2">
        <v>61</v>
      </c>
      <c r="D196" s="2" t="s">
        <v>41</v>
      </c>
      <c r="E196" s="2" t="s">
        <v>51</v>
      </c>
      <c r="F196" s="2" t="s">
        <v>75</v>
      </c>
      <c r="G196" s="2">
        <v>22.2</v>
      </c>
      <c r="H196" s="2">
        <v>158</v>
      </c>
      <c r="I196" s="2">
        <v>81</v>
      </c>
      <c r="J196" s="2">
        <v>233</v>
      </c>
      <c r="K196" s="2">
        <v>83</v>
      </c>
      <c r="L196" s="2" t="s">
        <v>86</v>
      </c>
      <c r="M196" s="2">
        <v>7</v>
      </c>
      <c r="N196" s="2">
        <v>6</v>
      </c>
      <c r="O196" s="2" t="s">
        <v>76</v>
      </c>
      <c r="P196" s="2" t="s">
        <v>603</v>
      </c>
      <c r="Q196" s="2">
        <v>3</v>
      </c>
      <c r="R196" s="2">
        <v>3</v>
      </c>
      <c r="S196" s="2"/>
      <c r="T196" s="2" t="s">
        <v>29</v>
      </c>
    </row>
    <row r="197" spans="1:20" x14ac:dyDescent="0.35">
      <c r="A197" s="3" t="s">
        <v>604</v>
      </c>
      <c r="B197" s="3" t="s">
        <v>605</v>
      </c>
      <c r="C197" s="3">
        <v>44</v>
      </c>
      <c r="D197" s="3" t="s">
        <v>41</v>
      </c>
      <c r="E197" s="3" t="s">
        <v>51</v>
      </c>
      <c r="F197" s="3" t="s">
        <v>75</v>
      </c>
      <c r="G197" s="3">
        <v>26.3</v>
      </c>
      <c r="H197" s="3">
        <v>113</v>
      </c>
      <c r="I197" s="3">
        <v>62</v>
      </c>
      <c r="J197" s="3">
        <v>182</v>
      </c>
      <c r="K197" s="3">
        <v>196</v>
      </c>
      <c r="L197" s="3" t="s">
        <v>107</v>
      </c>
      <c r="M197" s="3">
        <v>6</v>
      </c>
      <c r="N197" s="3">
        <v>2</v>
      </c>
      <c r="O197" s="3" t="s">
        <v>68</v>
      </c>
      <c r="P197" s="3" t="s">
        <v>606</v>
      </c>
      <c r="Q197" s="3">
        <v>12</v>
      </c>
      <c r="R197" s="3">
        <v>6</v>
      </c>
      <c r="S197" s="3" t="s">
        <v>70</v>
      </c>
      <c r="T197" s="3" t="s">
        <v>29</v>
      </c>
    </row>
    <row r="198" spans="1:20" x14ac:dyDescent="0.35">
      <c r="A198" s="2" t="s">
        <v>607</v>
      </c>
      <c r="B198" s="2" t="s">
        <v>608</v>
      </c>
      <c r="C198" s="2">
        <v>48</v>
      </c>
      <c r="D198" s="2" t="s">
        <v>32</v>
      </c>
      <c r="E198" s="2" t="s">
        <v>42</v>
      </c>
      <c r="F198" s="2" t="s">
        <v>82</v>
      </c>
      <c r="G198" s="2">
        <v>36.299999999999997</v>
      </c>
      <c r="H198" s="2">
        <v>157</v>
      </c>
      <c r="I198" s="2">
        <v>89</v>
      </c>
      <c r="J198" s="2">
        <v>269</v>
      </c>
      <c r="K198" s="2">
        <v>104</v>
      </c>
      <c r="L198" s="2" t="s">
        <v>44</v>
      </c>
      <c r="M198" s="2">
        <v>0</v>
      </c>
      <c r="N198" s="2">
        <v>9</v>
      </c>
      <c r="O198" s="2" t="s">
        <v>25</v>
      </c>
      <c r="P198" s="2" t="s">
        <v>609</v>
      </c>
      <c r="Q198" s="2">
        <v>16</v>
      </c>
      <c r="R198" s="2">
        <v>5</v>
      </c>
      <c r="S198" s="2" t="s">
        <v>54</v>
      </c>
      <c r="T198" s="2" t="s">
        <v>61</v>
      </c>
    </row>
    <row r="199" spans="1:20" x14ac:dyDescent="0.35">
      <c r="A199" s="3" t="s">
        <v>610</v>
      </c>
      <c r="B199" s="3" t="s">
        <v>611</v>
      </c>
      <c r="C199" s="3">
        <v>46</v>
      </c>
      <c r="D199" s="3" t="s">
        <v>106</v>
      </c>
      <c r="E199" s="3" t="s">
        <v>51</v>
      </c>
      <c r="F199" s="3" t="s">
        <v>34</v>
      </c>
      <c r="G199" s="3">
        <v>27.5</v>
      </c>
      <c r="H199" s="3">
        <v>131</v>
      </c>
      <c r="I199" s="3">
        <v>77</v>
      </c>
      <c r="J199" s="3">
        <v>241</v>
      </c>
      <c r="K199" s="3">
        <v>157</v>
      </c>
      <c r="L199" s="3" t="s">
        <v>29</v>
      </c>
      <c r="M199" s="3">
        <v>7</v>
      </c>
      <c r="N199" s="3">
        <v>3</v>
      </c>
      <c r="O199" s="3" t="s">
        <v>29</v>
      </c>
      <c r="P199" s="3" t="s">
        <v>612</v>
      </c>
      <c r="Q199" s="3">
        <v>16</v>
      </c>
      <c r="R199" s="3">
        <v>9</v>
      </c>
      <c r="S199" s="3" t="s">
        <v>38</v>
      </c>
      <c r="T199" s="3" t="s">
        <v>47</v>
      </c>
    </row>
    <row r="200" spans="1:20" x14ac:dyDescent="0.35">
      <c r="A200" s="2" t="s">
        <v>613</v>
      </c>
      <c r="B200" s="2" t="s">
        <v>614</v>
      </c>
      <c r="C200" s="2">
        <v>34</v>
      </c>
      <c r="D200" s="2" t="s">
        <v>22</v>
      </c>
      <c r="E200" s="2" t="s">
        <v>42</v>
      </c>
      <c r="F200" s="2" t="s">
        <v>57</v>
      </c>
      <c r="G200" s="2">
        <v>34.200000000000003</v>
      </c>
      <c r="H200" s="2">
        <v>116</v>
      </c>
      <c r="I200" s="2">
        <v>105</v>
      </c>
      <c r="J200" s="2">
        <v>185</v>
      </c>
      <c r="K200" s="2">
        <v>198</v>
      </c>
      <c r="L200" s="2" t="s">
        <v>76</v>
      </c>
      <c r="M200" s="2" t="s">
        <v>67</v>
      </c>
      <c r="N200" s="2">
        <v>6</v>
      </c>
      <c r="O200" s="2" t="s">
        <v>35</v>
      </c>
      <c r="P200" s="2" t="s">
        <v>615</v>
      </c>
      <c r="Q200" s="2">
        <v>18</v>
      </c>
      <c r="R200" s="2">
        <v>18</v>
      </c>
      <c r="S200" s="2"/>
      <c r="T200" s="2"/>
    </row>
    <row r="201" spans="1:20" x14ac:dyDescent="0.35">
      <c r="A201" s="3" t="s">
        <v>616</v>
      </c>
      <c r="B201" s="3" t="s">
        <v>617</v>
      </c>
      <c r="C201" s="3">
        <v>5</v>
      </c>
      <c r="D201" s="3" t="s">
        <v>73</v>
      </c>
      <c r="E201" s="3" t="s">
        <v>161</v>
      </c>
      <c r="F201" s="3" t="s">
        <v>34</v>
      </c>
      <c r="G201" s="3">
        <v>20.6</v>
      </c>
      <c r="H201" s="3"/>
      <c r="I201" s="3">
        <v>72</v>
      </c>
      <c r="J201" s="3">
        <v>208</v>
      </c>
      <c r="K201" s="3">
        <v>111</v>
      </c>
      <c r="L201" s="3" t="s">
        <v>29</v>
      </c>
      <c r="M201" s="3" t="s">
        <v>67</v>
      </c>
      <c r="N201" s="3">
        <v>5</v>
      </c>
      <c r="O201" s="3" t="s">
        <v>29</v>
      </c>
      <c r="P201" s="3" t="s">
        <v>618</v>
      </c>
      <c r="Q201" s="3">
        <v>9</v>
      </c>
      <c r="R201" s="3">
        <v>6</v>
      </c>
      <c r="S201" s="3" t="s">
        <v>38</v>
      </c>
      <c r="T201" s="3" t="s">
        <v>25</v>
      </c>
    </row>
    <row r="202" spans="1:20" x14ac:dyDescent="0.35">
      <c r="A202" s="2" t="s">
        <v>619</v>
      </c>
      <c r="B202" s="2" t="s">
        <v>620</v>
      </c>
      <c r="C202" s="2">
        <v>28</v>
      </c>
      <c r="D202" s="2" t="s">
        <v>22</v>
      </c>
      <c r="E202" s="2" t="s">
        <v>51</v>
      </c>
      <c r="F202" s="2" t="s">
        <v>34</v>
      </c>
      <c r="G202" s="2">
        <v>22.9</v>
      </c>
      <c r="H202" s="2">
        <v>136</v>
      </c>
      <c r="I202" s="2">
        <v>104</v>
      </c>
      <c r="J202" s="2">
        <v>152</v>
      </c>
      <c r="K202" s="2">
        <v>167</v>
      </c>
      <c r="L202" s="2" t="s">
        <v>58</v>
      </c>
      <c r="M202" s="2">
        <v>6</v>
      </c>
      <c r="N202" s="2">
        <v>6</v>
      </c>
      <c r="O202" s="2" t="s">
        <v>25</v>
      </c>
      <c r="P202" s="2" t="s">
        <v>621</v>
      </c>
      <c r="Q202" s="2">
        <v>6</v>
      </c>
      <c r="R202" s="2">
        <v>19</v>
      </c>
      <c r="S202" s="2" t="s">
        <v>70</v>
      </c>
      <c r="T202" s="2" t="s">
        <v>29</v>
      </c>
    </row>
    <row r="203" spans="1:20" x14ac:dyDescent="0.35">
      <c r="A203" s="3" t="s">
        <v>622</v>
      </c>
      <c r="B203" s="3" t="s">
        <v>623</v>
      </c>
      <c r="C203" s="3">
        <v>56</v>
      </c>
      <c r="D203" s="3" t="s">
        <v>22</v>
      </c>
      <c r="E203" s="3" t="s">
        <v>23</v>
      </c>
      <c r="F203" s="3" t="s">
        <v>57</v>
      </c>
      <c r="G203" s="3">
        <v>28.2</v>
      </c>
      <c r="H203" s="3">
        <v>109</v>
      </c>
      <c r="I203" s="3">
        <v>71</v>
      </c>
      <c r="J203" s="3">
        <v>184</v>
      </c>
      <c r="K203" s="3">
        <v>201</v>
      </c>
      <c r="L203" s="3" t="s">
        <v>35</v>
      </c>
      <c r="M203" s="3">
        <v>6</v>
      </c>
      <c r="N203" s="3">
        <v>1</v>
      </c>
      <c r="O203" s="3" t="s">
        <v>44</v>
      </c>
      <c r="P203" s="3" t="s">
        <v>624</v>
      </c>
      <c r="Q203" s="3">
        <v>4</v>
      </c>
      <c r="R203" s="3">
        <v>5</v>
      </c>
      <c r="S203" s="3" t="s">
        <v>54</v>
      </c>
      <c r="T203" s="3" t="s">
        <v>26</v>
      </c>
    </row>
    <row r="204" spans="1:20" x14ac:dyDescent="0.35">
      <c r="A204" s="2" t="s">
        <v>625</v>
      </c>
      <c r="B204" s="2" t="s">
        <v>605</v>
      </c>
      <c r="C204" s="2">
        <v>51</v>
      </c>
      <c r="D204" s="2" t="s">
        <v>50</v>
      </c>
      <c r="E204" s="2" t="s">
        <v>161</v>
      </c>
      <c r="F204" s="2" t="s">
        <v>24</v>
      </c>
      <c r="G204" s="2">
        <v>40.200000000000003</v>
      </c>
      <c r="H204" s="2">
        <v>106</v>
      </c>
      <c r="I204" s="2">
        <v>100</v>
      </c>
      <c r="J204" s="2">
        <v>217</v>
      </c>
      <c r="K204" s="2">
        <v>195</v>
      </c>
      <c r="L204" s="2"/>
      <c r="M204" s="2"/>
      <c r="N204" s="2">
        <v>6</v>
      </c>
      <c r="O204" s="2" t="s">
        <v>35</v>
      </c>
      <c r="P204" s="2" t="s">
        <v>626</v>
      </c>
      <c r="Q204" s="2">
        <v>5</v>
      </c>
      <c r="R204" s="2">
        <v>16</v>
      </c>
      <c r="S204" s="2" t="s">
        <v>92</v>
      </c>
      <c r="T204" s="2" t="s">
        <v>100</v>
      </c>
    </row>
    <row r="205" spans="1:20" x14ac:dyDescent="0.35">
      <c r="A205" s="3" t="s">
        <v>627</v>
      </c>
      <c r="B205" s="3" t="s">
        <v>97</v>
      </c>
      <c r="C205" s="3">
        <v>56</v>
      </c>
      <c r="D205" s="3" t="s">
        <v>64</v>
      </c>
      <c r="E205" s="3" t="s">
        <v>131</v>
      </c>
      <c r="F205" s="3" t="s">
        <v>43</v>
      </c>
      <c r="G205" s="3">
        <v>22.5</v>
      </c>
      <c r="H205" s="3">
        <v>127</v>
      </c>
      <c r="I205" s="3">
        <v>102</v>
      </c>
      <c r="J205" s="3">
        <v>224</v>
      </c>
      <c r="K205" s="3">
        <v>154</v>
      </c>
      <c r="L205" s="3" t="s">
        <v>26</v>
      </c>
      <c r="M205" s="3">
        <v>4</v>
      </c>
      <c r="N205" s="3">
        <v>4</v>
      </c>
      <c r="O205" s="3" t="s">
        <v>76</v>
      </c>
      <c r="P205" s="3" t="s">
        <v>628</v>
      </c>
      <c r="Q205" s="3">
        <v>11</v>
      </c>
      <c r="R205" s="3">
        <v>14</v>
      </c>
      <c r="S205" s="3" t="s">
        <v>78</v>
      </c>
      <c r="T205" s="3" t="s">
        <v>29</v>
      </c>
    </row>
    <row r="206" spans="1:20" x14ac:dyDescent="0.35">
      <c r="A206" s="2" t="s">
        <v>629</v>
      </c>
      <c r="B206" s="2" t="s">
        <v>102</v>
      </c>
      <c r="C206" s="2">
        <v>46</v>
      </c>
      <c r="D206" s="2" t="s">
        <v>73</v>
      </c>
      <c r="E206" s="2" t="s">
        <v>65</v>
      </c>
      <c r="F206" s="2" t="s">
        <v>57</v>
      </c>
      <c r="G206" s="2">
        <v>30.5</v>
      </c>
      <c r="H206" s="2">
        <v>136</v>
      </c>
      <c r="I206" s="2">
        <v>61</v>
      </c>
      <c r="J206" s="2">
        <v>272</v>
      </c>
      <c r="K206" s="2">
        <v>165</v>
      </c>
      <c r="L206" s="2" t="s">
        <v>76</v>
      </c>
      <c r="M206" s="2"/>
      <c r="N206" s="2">
        <v>8</v>
      </c>
      <c r="O206" s="2" t="s">
        <v>76</v>
      </c>
      <c r="P206" s="2" t="s">
        <v>630</v>
      </c>
      <c r="Q206" s="2">
        <v>6</v>
      </c>
      <c r="R206" s="2">
        <v>10</v>
      </c>
      <c r="S206" s="2" t="s">
        <v>38</v>
      </c>
      <c r="T206" s="2" t="s">
        <v>35</v>
      </c>
    </row>
    <row r="207" spans="1:20" x14ac:dyDescent="0.35">
      <c r="A207" s="3" t="s">
        <v>631</v>
      </c>
      <c r="B207" s="3" t="s">
        <v>632</v>
      </c>
      <c r="C207" s="3">
        <v>56</v>
      </c>
      <c r="D207" s="3" t="s">
        <v>32</v>
      </c>
      <c r="E207" s="3" t="s">
        <v>131</v>
      </c>
      <c r="F207" s="3" t="s">
        <v>52</v>
      </c>
      <c r="G207" s="3">
        <v>33.799999999999997</v>
      </c>
      <c r="H207" s="3">
        <v>127</v>
      </c>
      <c r="I207" s="3">
        <v>103</v>
      </c>
      <c r="J207" s="3">
        <v>248</v>
      </c>
      <c r="K207" s="3">
        <v>96</v>
      </c>
      <c r="L207" s="3" t="s">
        <v>86</v>
      </c>
      <c r="M207" s="3"/>
      <c r="N207" s="3">
        <v>7</v>
      </c>
      <c r="O207" s="3" t="s">
        <v>35</v>
      </c>
      <c r="P207" s="3" t="s">
        <v>633</v>
      </c>
      <c r="Q207" s="3">
        <v>10</v>
      </c>
      <c r="R207" s="3">
        <v>1</v>
      </c>
      <c r="S207" s="3" t="s">
        <v>92</v>
      </c>
      <c r="T207" s="3" t="s">
        <v>35</v>
      </c>
    </row>
    <row r="208" spans="1:20" x14ac:dyDescent="0.35">
      <c r="A208" s="2" t="s">
        <v>634</v>
      </c>
      <c r="B208" s="2" t="s">
        <v>635</v>
      </c>
      <c r="C208" s="2">
        <v>38</v>
      </c>
      <c r="D208" s="2" t="s">
        <v>73</v>
      </c>
      <c r="E208" s="2" t="s">
        <v>42</v>
      </c>
      <c r="F208" s="2" t="s">
        <v>52</v>
      </c>
      <c r="G208" s="2">
        <v>39.799999999999997</v>
      </c>
      <c r="H208" s="2">
        <v>152</v>
      </c>
      <c r="I208" s="2">
        <v>84</v>
      </c>
      <c r="J208" s="2">
        <v>255</v>
      </c>
      <c r="K208" s="2">
        <v>231</v>
      </c>
      <c r="L208" s="2" t="s">
        <v>58</v>
      </c>
      <c r="M208" s="2">
        <v>6</v>
      </c>
      <c r="N208" s="2">
        <v>6</v>
      </c>
      <c r="O208" s="2" t="s">
        <v>25</v>
      </c>
      <c r="P208" s="2" t="s">
        <v>636</v>
      </c>
      <c r="Q208" s="2">
        <v>17</v>
      </c>
      <c r="R208" s="2">
        <v>0</v>
      </c>
      <c r="S208" s="2"/>
      <c r="T208" s="2" t="s">
        <v>35</v>
      </c>
    </row>
    <row r="209" spans="1:20" x14ac:dyDescent="0.35">
      <c r="A209" s="3" t="s">
        <v>637</v>
      </c>
      <c r="B209" s="3" t="s">
        <v>372</v>
      </c>
      <c r="C209" s="3">
        <v>26</v>
      </c>
      <c r="D209" s="3" t="s">
        <v>106</v>
      </c>
      <c r="E209" s="3" t="s">
        <v>51</v>
      </c>
      <c r="F209" s="3" t="s">
        <v>82</v>
      </c>
      <c r="G209" s="3">
        <v>24.2</v>
      </c>
      <c r="H209" s="3">
        <v>138</v>
      </c>
      <c r="I209" s="3">
        <v>98</v>
      </c>
      <c r="J209" s="3">
        <v>162</v>
      </c>
      <c r="K209" s="3">
        <v>142</v>
      </c>
      <c r="L209" s="3" t="s">
        <v>44</v>
      </c>
      <c r="M209" s="3">
        <v>6</v>
      </c>
      <c r="N209" s="3">
        <v>7</v>
      </c>
      <c r="O209" s="3" t="s">
        <v>25</v>
      </c>
      <c r="P209" s="3" t="s">
        <v>638</v>
      </c>
      <c r="Q209" s="3">
        <v>7</v>
      </c>
      <c r="R209" s="3">
        <v>4</v>
      </c>
      <c r="S209" s="3" t="s">
        <v>28</v>
      </c>
      <c r="T209" s="3" t="s">
        <v>100</v>
      </c>
    </row>
    <row r="210" spans="1:20" x14ac:dyDescent="0.35">
      <c r="A210" s="2" t="s">
        <v>639</v>
      </c>
      <c r="B210" s="2" t="s">
        <v>384</v>
      </c>
      <c r="C210" s="2">
        <v>41</v>
      </c>
      <c r="D210" s="2" t="s">
        <v>106</v>
      </c>
      <c r="E210" s="2" t="s">
        <v>161</v>
      </c>
      <c r="F210" s="2" t="s">
        <v>75</v>
      </c>
      <c r="G210" s="2">
        <v>38.9</v>
      </c>
      <c r="H210" s="2">
        <v>118</v>
      </c>
      <c r="I210" s="2">
        <v>67</v>
      </c>
      <c r="J210" s="2">
        <v>150</v>
      </c>
      <c r="K210" s="2">
        <v>71</v>
      </c>
      <c r="L210" s="2"/>
      <c r="M210" s="2" t="s">
        <v>54</v>
      </c>
      <c r="N210" s="2">
        <v>7</v>
      </c>
      <c r="O210" s="2" t="s">
        <v>35</v>
      </c>
      <c r="P210" s="2" t="s">
        <v>640</v>
      </c>
      <c r="Q210" s="2">
        <v>11</v>
      </c>
      <c r="R210" s="2">
        <v>6</v>
      </c>
      <c r="S210" s="2" t="s">
        <v>28</v>
      </c>
      <c r="T210" s="2" t="s">
        <v>100</v>
      </c>
    </row>
    <row r="211" spans="1:20" x14ac:dyDescent="0.35">
      <c r="A211" s="3" t="s">
        <v>641</v>
      </c>
      <c r="B211" s="3" t="s">
        <v>523</v>
      </c>
      <c r="C211" s="3">
        <v>33</v>
      </c>
      <c r="D211" s="3" t="s">
        <v>22</v>
      </c>
      <c r="E211" s="3" t="s">
        <v>42</v>
      </c>
      <c r="F211" s="3" t="s">
        <v>57</v>
      </c>
      <c r="G211" s="3">
        <v>21.9</v>
      </c>
      <c r="H211" s="3">
        <v>123</v>
      </c>
      <c r="I211" s="3">
        <v>102</v>
      </c>
      <c r="J211" s="3">
        <v>153</v>
      </c>
      <c r="K211" s="3">
        <v>210</v>
      </c>
      <c r="L211" s="3" t="s">
        <v>44</v>
      </c>
      <c r="M211" s="3" t="s">
        <v>67</v>
      </c>
      <c r="N211" s="3">
        <v>9</v>
      </c>
      <c r="O211" s="3" t="s">
        <v>35</v>
      </c>
      <c r="P211" s="3" t="s">
        <v>328</v>
      </c>
      <c r="Q211" s="3">
        <v>3</v>
      </c>
      <c r="R211" s="3">
        <v>6</v>
      </c>
      <c r="S211" s="3" t="s">
        <v>54</v>
      </c>
      <c r="T211" s="3" t="s">
        <v>54</v>
      </c>
    </row>
    <row r="212" spans="1:20" x14ac:dyDescent="0.35">
      <c r="A212" s="2" t="s">
        <v>642</v>
      </c>
      <c r="B212" s="2" t="s">
        <v>643</v>
      </c>
      <c r="C212" s="2">
        <v>30</v>
      </c>
      <c r="D212" s="2" t="s">
        <v>22</v>
      </c>
      <c r="E212" s="2" t="s">
        <v>131</v>
      </c>
      <c r="F212" s="2" t="s">
        <v>57</v>
      </c>
      <c r="G212" s="2">
        <v>32.5</v>
      </c>
      <c r="H212" s="2">
        <v>124</v>
      </c>
      <c r="I212" s="2">
        <v>80</v>
      </c>
      <c r="J212" s="2">
        <v>264</v>
      </c>
      <c r="K212" s="2">
        <v>185</v>
      </c>
      <c r="L212" s="2" t="s">
        <v>26</v>
      </c>
      <c r="M212" s="2" t="s">
        <v>54</v>
      </c>
      <c r="N212" s="2">
        <v>5</v>
      </c>
      <c r="O212" s="2" t="s">
        <v>29</v>
      </c>
      <c r="P212" s="2" t="s">
        <v>644</v>
      </c>
      <c r="Q212" s="2">
        <v>5</v>
      </c>
      <c r="R212" s="2">
        <v>0</v>
      </c>
      <c r="S212" s="2" t="s">
        <v>46</v>
      </c>
      <c r="T212" s="2" t="s">
        <v>29</v>
      </c>
    </row>
    <row r="213" spans="1:20" x14ac:dyDescent="0.35">
      <c r="A213" s="3" t="s">
        <v>645</v>
      </c>
      <c r="B213" s="3" t="s">
        <v>646</v>
      </c>
      <c r="C213" s="3">
        <v>39</v>
      </c>
      <c r="D213" s="3" t="s">
        <v>106</v>
      </c>
      <c r="E213" s="3" t="s">
        <v>33</v>
      </c>
      <c r="F213" s="3" t="s">
        <v>43</v>
      </c>
      <c r="G213" s="3">
        <v>38.9</v>
      </c>
      <c r="H213" s="3">
        <v>159</v>
      </c>
      <c r="I213" s="3">
        <v>88</v>
      </c>
      <c r="J213" s="3">
        <v>231</v>
      </c>
      <c r="K213" s="3">
        <v>148</v>
      </c>
      <c r="L213" s="3" t="s">
        <v>44</v>
      </c>
      <c r="M213" s="3"/>
      <c r="N213" s="3">
        <v>2</v>
      </c>
      <c r="O213" s="3" t="s">
        <v>29</v>
      </c>
      <c r="P213" s="3" t="s">
        <v>235</v>
      </c>
      <c r="Q213" s="3">
        <v>4</v>
      </c>
      <c r="R213" s="3">
        <v>17</v>
      </c>
      <c r="S213" s="3" t="s">
        <v>78</v>
      </c>
      <c r="T213" s="3" t="s">
        <v>26</v>
      </c>
    </row>
    <row r="214" spans="1:20" x14ac:dyDescent="0.35">
      <c r="A214" s="2" t="s">
        <v>647</v>
      </c>
      <c r="B214" s="2" t="s">
        <v>648</v>
      </c>
      <c r="C214" s="2">
        <v>23</v>
      </c>
      <c r="D214" s="2" t="s">
        <v>32</v>
      </c>
      <c r="E214" s="2" t="s">
        <v>42</v>
      </c>
      <c r="F214" s="2" t="s">
        <v>66</v>
      </c>
      <c r="G214" s="2">
        <v>27.1</v>
      </c>
      <c r="H214" s="2">
        <v>127</v>
      </c>
      <c r="I214" s="2">
        <v>62</v>
      </c>
      <c r="J214" s="2">
        <v>206</v>
      </c>
      <c r="K214" s="2">
        <v>209</v>
      </c>
      <c r="L214" s="2" t="s">
        <v>76</v>
      </c>
      <c r="M214" s="2">
        <v>7</v>
      </c>
      <c r="N214" s="2">
        <v>3</v>
      </c>
      <c r="O214" s="2" t="s">
        <v>36</v>
      </c>
      <c r="P214" s="2" t="s">
        <v>649</v>
      </c>
      <c r="Q214" s="2">
        <v>18</v>
      </c>
      <c r="R214" s="2">
        <v>9</v>
      </c>
      <c r="S214" s="2" t="s">
        <v>60</v>
      </c>
      <c r="T214" s="2" t="s">
        <v>54</v>
      </c>
    </row>
    <row r="215" spans="1:20" x14ac:dyDescent="0.35">
      <c r="A215" s="3" t="s">
        <v>650</v>
      </c>
      <c r="B215" s="3" t="s">
        <v>651</v>
      </c>
      <c r="C215" s="3">
        <v>27</v>
      </c>
      <c r="D215" s="3" t="s">
        <v>64</v>
      </c>
      <c r="E215" s="3" t="s">
        <v>127</v>
      </c>
      <c r="F215" s="3" t="s">
        <v>75</v>
      </c>
      <c r="G215" s="3">
        <v>17.3</v>
      </c>
      <c r="H215" s="3">
        <v>130</v>
      </c>
      <c r="I215" s="3">
        <v>99</v>
      </c>
      <c r="J215" s="3">
        <v>182</v>
      </c>
      <c r="K215" s="3">
        <v>201</v>
      </c>
      <c r="L215" s="3" t="s">
        <v>107</v>
      </c>
      <c r="M215" s="3">
        <v>7</v>
      </c>
      <c r="N215" s="3">
        <v>3</v>
      </c>
      <c r="O215" s="3" t="s">
        <v>29</v>
      </c>
      <c r="P215" s="3" t="s">
        <v>652</v>
      </c>
      <c r="Q215" s="3">
        <v>15</v>
      </c>
      <c r="R215" s="3">
        <v>11</v>
      </c>
      <c r="S215" s="3" t="s">
        <v>99</v>
      </c>
      <c r="T215" s="3" t="s">
        <v>29</v>
      </c>
    </row>
    <row r="216" spans="1:20" x14ac:dyDescent="0.35">
      <c r="A216" s="2" t="s">
        <v>653</v>
      </c>
      <c r="B216" s="2" t="s">
        <v>654</v>
      </c>
      <c r="C216" s="2">
        <v>26</v>
      </c>
      <c r="D216" s="2" t="s">
        <v>41</v>
      </c>
      <c r="E216" s="2" t="s">
        <v>127</v>
      </c>
      <c r="F216" s="2" t="s">
        <v>52</v>
      </c>
      <c r="G216" s="2">
        <v>18.100000000000001</v>
      </c>
      <c r="H216" s="2">
        <v>126</v>
      </c>
      <c r="I216" s="2">
        <v>93</v>
      </c>
      <c r="J216" s="2">
        <v>232</v>
      </c>
      <c r="K216" s="2">
        <v>169</v>
      </c>
      <c r="L216" s="2" t="s">
        <v>44</v>
      </c>
      <c r="M216" s="2">
        <v>7</v>
      </c>
      <c r="N216" s="2">
        <v>1</v>
      </c>
      <c r="O216" s="2" t="s">
        <v>25</v>
      </c>
      <c r="P216" s="2" t="s">
        <v>655</v>
      </c>
      <c r="Q216" s="2">
        <v>16</v>
      </c>
      <c r="R216" s="2">
        <v>20</v>
      </c>
      <c r="S216" s="2" t="s">
        <v>166</v>
      </c>
      <c r="T216" s="2" t="s">
        <v>26</v>
      </c>
    </row>
    <row r="217" spans="1:20" x14ac:dyDescent="0.35">
      <c r="A217" s="3" t="s">
        <v>656</v>
      </c>
      <c r="B217" s="3" t="s">
        <v>557</v>
      </c>
      <c r="C217" s="3">
        <v>58</v>
      </c>
      <c r="D217" s="3" t="s">
        <v>50</v>
      </c>
      <c r="E217" s="3" t="s">
        <v>65</v>
      </c>
      <c r="F217" s="3" t="s">
        <v>34</v>
      </c>
      <c r="G217" s="3">
        <v>26.1</v>
      </c>
      <c r="H217" s="3">
        <v>109</v>
      </c>
      <c r="I217" s="3">
        <v>93</v>
      </c>
      <c r="J217" s="3">
        <v>204</v>
      </c>
      <c r="K217" s="3">
        <v>166</v>
      </c>
      <c r="L217" s="3" t="s">
        <v>86</v>
      </c>
      <c r="M217" s="3"/>
      <c r="N217" s="3">
        <v>7</v>
      </c>
      <c r="O217" s="3" t="s">
        <v>36</v>
      </c>
      <c r="P217" s="3" t="s">
        <v>657</v>
      </c>
      <c r="Q217" s="3">
        <v>15</v>
      </c>
      <c r="R217" s="3">
        <v>19</v>
      </c>
      <c r="S217" s="3" t="s">
        <v>99</v>
      </c>
      <c r="T217" s="3" t="s">
        <v>100</v>
      </c>
    </row>
    <row r="218" spans="1:20" x14ac:dyDescent="0.35">
      <c r="A218" s="2" t="s">
        <v>658</v>
      </c>
      <c r="B218" s="2" t="s">
        <v>151</v>
      </c>
      <c r="C218" s="2">
        <v>32</v>
      </c>
      <c r="D218" s="2" t="s">
        <v>22</v>
      </c>
      <c r="E218" s="2" t="s">
        <v>131</v>
      </c>
      <c r="F218" s="2" t="s">
        <v>75</v>
      </c>
      <c r="G218" s="2">
        <v>33.1</v>
      </c>
      <c r="H218" s="2">
        <v>127</v>
      </c>
      <c r="I218" s="2">
        <v>69</v>
      </c>
      <c r="J218" s="2">
        <v>187</v>
      </c>
      <c r="K218" s="2">
        <v>110</v>
      </c>
      <c r="L218" s="2" t="s">
        <v>26</v>
      </c>
      <c r="M218" s="2" t="s">
        <v>54</v>
      </c>
      <c r="N218" s="2">
        <v>2</v>
      </c>
      <c r="O218" s="2" t="s">
        <v>26</v>
      </c>
      <c r="P218" s="2" t="s">
        <v>659</v>
      </c>
      <c r="Q218" s="2">
        <v>3</v>
      </c>
      <c r="R218" s="2">
        <v>15</v>
      </c>
      <c r="S218" s="2"/>
      <c r="T218" s="2" t="s">
        <v>54</v>
      </c>
    </row>
    <row r="219" spans="1:20" x14ac:dyDescent="0.35">
      <c r="A219" s="3" t="s">
        <v>660</v>
      </c>
      <c r="B219" s="3" t="s">
        <v>661</v>
      </c>
      <c r="C219" s="3">
        <v>59</v>
      </c>
      <c r="D219" s="3" t="s">
        <v>50</v>
      </c>
      <c r="E219" s="3" t="s">
        <v>65</v>
      </c>
      <c r="F219" s="3" t="s">
        <v>117</v>
      </c>
      <c r="G219" s="3">
        <v>23.1</v>
      </c>
      <c r="H219" s="3">
        <v>116</v>
      </c>
      <c r="I219" s="3">
        <v>96</v>
      </c>
      <c r="J219" s="3">
        <v>181</v>
      </c>
      <c r="K219" s="3">
        <v>104</v>
      </c>
      <c r="L219" s="3" t="s">
        <v>76</v>
      </c>
      <c r="M219" s="3">
        <v>0</v>
      </c>
      <c r="N219" s="3">
        <v>10</v>
      </c>
      <c r="O219" s="3" t="s">
        <v>29</v>
      </c>
      <c r="P219" s="3" t="s">
        <v>662</v>
      </c>
      <c r="Q219" s="3">
        <v>5</v>
      </c>
      <c r="R219" s="3">
        <v>16</v>
      </c>
      <c r="S219" s="3" t="s">
        <v>28</v>
      </c>
      <c r="T219" s="3" t="s">
        <v>25</v>
      </c>
    </row>
    <row r="220" spans="1:20" x14ac:dyDescent="0.35">
      <c r="A220" s="2" t="s">
        <v>663</v>
      </c>
      <c r="B220" s="2" t="s">
        <v>664</v>
      </c>
      <c r="C220" s="2">
        <v>35</v>
      </c>
      <c r="D220" s="2" t="s">
        <v>54</v>
      </c>
      <c r="E220" s="2" t="s">
        <v>42</v>
      </c>
      <c r="F220" s="2" t="s">
        <v>90</v>
      </c>
      <c r="G220" s="2">
        <v>38.700000000000003</v>
      </c>
      <c r="H220" s="2">
        <v>121</v>
      </c>
      <c r="I220" s="2">
        <v>74</v>
      </c>
      <c r="J220" s="2">
        <v>245</v>
      </c>
      <c r="K220" s="2">
        <v>223</v>
      </c>
      <c r="L220" s="2" t="s">
        <v>107</v>
      </c>
      <c r="M220" s="2" t="s">
        <v>54</v>
      </c>
      <c r="N220" s="2">
        <v>3</v>
      </c>
      <c r="O220" s="2" t="s">
        <v>68</v>
      </c>
      <c r="P220" s="2" t="s">
        <v>665</v>
      </c>
      <c r="Q220" s="2">
        <v>10</v>
      </c>
      <c r="R220" s="2">
        <v>14</v>
      </c>
      <c r="S220" s="2" t="s">
        <v>54</v>
      </c>
      <c r="T220" s="2" t="s">
        <v>35</v>
      </c>
    </row>
    <row r="221" spans="1:20" x14ac:dyDescent="0.35">
      <c r="A221" s="3" t="s">
        <v>666</v>
      </c>
      <c r="B221" s="3" t="s">
        <v>145</v>
      </c>
      <c r="C221" s="3">
        <v>46</v>
      </c>
      <c r="D221" s="3" t="s">
        <v>50</v>
      </c>
      <c r="E221" s="3" t="s">
        <v>131</v>
      </c>
      <c r="F221" s="3" t="s">
        <v>117</v>
      </c>
      <c r="G221" s="3">
        <v>22.1</v>
      </c>
      <c r="H221" s="3">
        <v>164</v>
      </c>
      <c r="I221" s="3">
        <v>103</v>
      </c>
      <c r="J221" s="3"/>
      <c r="K221" s="3">
        <v>108</v>
      </c>
      <c r="L221" s="3"/>
      <c r="M221" s="3">
        <v>1</v>
      </c>
      <c r="N221" s="3">
        <v>3</v>
      </c>
      <c r="O221" s="3" t="s">
        <v>76</v>
      </c>
      <c r="P221" s="3" t="s">
        <v>667</v>
      </c>
      <c r="Q221" s="3">
        <v>3</v>
      </c>
      <c r="R221" s="3">
        <v>2</v>
      </c>
      <c r="S221" s="3" t="s">
        <v>70</v>
      </c>
      <c r="T221" s="3" t="s">
        <v>61</v>
      </c>
    </row>
    <row r="222" spans="1:20" x14ac:dyDescent="0.35">
      <c r="A222" s="2" t="s">
        <v>668</v>
      </c>
      <c r="B222" s="2" t="s">
        <v>669</v>
      </c>
      <c r="C222" s="2">
        <v>22</v>
      </c>
      <c r="D222" s="2" t="s">
        <v>64</v>
      </c>
      <c r="E222" s="2" t="s">
        <v>51</v>
      </c>
      <c r="F222" s="2" t="s">
        <v>34</v>
      </c>
      <c r="G222" s="2">
        <v>26.3</v>
      </c>
      <c r="H222" s="2">
        <v>105</v>
      </c>
      <c r="I222" s="2">
        <v>104</v>
      </c>
      <c r="J222" s="2">
        <v>275</v>
      </c>
      <c r="K222" s="2">
        <v>179</v>
      </c>
      <c r="L222" s="2" t="s">
        <v>86</v>
      </c>
      <c r="M222" s="2">
        <v>7</v>
      </c>
      <c r="N222" s="2">
        <v>7</v>
      </c>
      <c r="O222" s="2" t="s">
        <v>36</v>
      </c>
      <c r="P222" s="2" t="s">
        <v>545</v>
      </c>
      <c r="Q222" s="2">
        <v>8</v>
      </c>
      <c r="R222" s="2">
        <v>15</v>
      </c>
      <c r="S222" s="2" t="s">
        <v>78</v>
      </c>
      <c r="T222" s="2" t="s">
        <v>35</v>
      </c>
    </row>
    <row r="223" spans="1:20" x14ac:dyDescent="0.35">
      <c r="A223" s="3" t="s">
        <v>670</v>
      </c>
      <c r="B223" s="3" t="s">
        <v>671</v>
      </c>
      <c r="C223" s="3">
        <v>56</v>
      </c>
      <c r="D223" s="3" t="s">
        <v>64</v>
      </c>
      <c r="E223" s="3" t="s">
        <v>74</v>
      </c>
      <c r="F223" s="3" t="s">
        <v>52</v>
      </c>
      <c r="G223" s="3">
        <v>17.100000000000001</v>
      </c>
      <c r="H223" s="3">
        <v>100</v>
      </c>
      <c r="I223" s="3">
        <v>96</v>
      </c>
      <c r="J223" s="3">
        <v>273</v>
      </c>
      <c r="K223" s="3">
        <v>100</v>
      </c>
      <c r="L223" s="3" t="s">
        <v>76</v>
      </c>
      <c r="M223" s="3">
        <v>0</v>
      </c>
      <c r="N223" s="3">
        <v>7</v>
      </c>
      <c r="O223" s="3" t="s">
        <v>26</v>
      </c>
      <c r="P223" s="3" t="s">
        <v>672</v>
      </c>
      <c r="Q223" s="3">
        <v>3</v>
      </c>
      <c r="R223" s="3">
        <v>4</v>
      </c>
      <c r="S223" s="3" t="s">
        <v>28</v>
      </c>
      <c r="T223" s="3" t="s">
        <v>26</v>
      </c>
    </row>
    <row r="224" spans="1:20" x14ac:dyDescent="0.35">
      <c r="A224" s="2" t="s">
        <v>673</v>
      </c>
      <c r="B224" s="2" t="s">
        <v>674</v>
      </c>
      <c r="C224" s="2">
        <v>49</v>
      </c>
      <c r="D224" s="2" t="s">
        <v>106</v>
      </c>
      <c r="E224" s="2" t="s">
        <v>42</v>
      </c>
      <c r="F224" s="2" t="s">
        <v>57</v>
      </c>
      <c r="G224" s="2">
        <v>41.8</v>
      </c>
      <c r="H224" s="2">
        <v>150</v>
      </c>
      <c r="I224" s="2">
        <v>73</v>
      </c>
      <c r="J224" s="2">
        <v>245</v>
      </c>
      <c r="K224" s="2">
        <v>211</v>
      </c>
      <c r="L224" s="2" t="s">
        <v>76</v>
      </c>
      <c r="M224" s="2">
        <v>7</v>
      </c>
      <c r="N224" s="2">
        <v>3</v>
      </c>
      <c r="O224" s="2" t="s">
        <v>36</v>
      </c>
      <c r="P224" s="2" t="s">
        <v>675</v>
      </c>
      <c r="Q224" s="2">
        <v>18</v>
      </c>
      <c r="R224" s="2">
        <v>11</v>
      </c>
      <c r="S224" s="2" t="s">
        <v>28</v>
      </c>
      <c r="T224" s="2" t="s">
        <v>61</v>
      </c>
    </row>
    <row r="225" spans="1:20" x14ac:dyDescent="0.35">
      <c r="A225" s="3" t="s">
        <v>676</v>
      </c>
      <c r="B225" s="3" t="s">
        <v>677</v>
      </c>
      <c r="C225" s="3">
        <v>50</v>
      </c>
      <c r="D225" s="3" t="s">
        <v>50</v>
      </c>
      <c r="E225" s="3" t="s">
        <v>131</v>
      </c>
      <c r="F225" s="3" t="s">
        <v>52</v>
      </c>
      <c r="G225" s="3">
        <v>29.7</v>
      </c>
      <c r="H225" s="3">
        <v>143</v>
      </c>
      <c r="I225" s="3">
        <v>95</v>
      </c>
      <c r="J225" s="3">
        <v>153</v>
      </c>
      <c r="K225" s="3">
        <v>111</v>
      </c>
      <c r="L225" s="3" t="s">
        <v>58</v>
      </c>
      <c r="M225" s="3" t="s">
        <v>67</v>
      </c>
      <c r="N225" s="3">
        <v>1</v>
      </c>
      <c r="O225" s="3" t="s">
        <v>35</v>
      </c>
      <c r="P225" s="3" t="s">
        <v>678</v>
      </c>
      <c r="Q225" s="3">
        <v>13</v>
      </c>
      <c r="R225" s="3">
        <v>2</v>
      </c>
      <c r="S225" s="3" t="s">
        <v>92</v>
      </c>
      <c r="T225" s="3" t="s">
        <v>26</v>
      </c>
    </row>
    <row r="226" spans="1:20" x14ac:dyDescent="0.35">
      <c r="A226" s="2" t="s">
        <v>679</v>
      </c>
      <c r="B226" s="2" t="s">
        <v>680</v>
      </c>
      <c r="C226" s="2">
        <v>27</v>
      </c>
      <c r="D226" s="2" t="s">
        <v>32</v>
      </c>
      <c r="E226" s="2" t="s">
        <v>65</v>
      </c>
      <c r="F226" s="2" t="s">
        <v>34</v>
      </c>
      <c r="G226" s="2">
        <v>32.299999999999997</v>
      </c>
      <c r="H226" s="2">
        <v>166</v>
      </c>
      <c r="I226" s="2">
        <v>78</v>
      </c>
      <c r="J226" s="2">
        <v>154</v>
      </c>
      <c r="K226" s="2">
        <v>114</v>
      </c>
      <c r="L226" s="2" t="s">
        <v>44</v>
      </c>
      <c r="M226" s="2">
        <v>7</v>
      </c>
      <c r="N226" s="2"/>
      <c r="O226" s="2" t="s">
        <v>26</v>
      </c>
      <c r="P226" s="2" t="s">
        <v>681</v>
      </c>
      <c r="Q226" s="2">
        <v>19</v>
      </c>
      <c r="R226" s="2">
        <v>16</v>
      </c>
      <c r="S226" s="2" t="s">
        <v>38</v>
      </c>
      <c r="T226" s="2" t="s">
        <v>29</v>
      </c>
    </row>
    <row r="227" spans="1:20" x14ac:dyDescent="0.35">
      <c r="A227" s="3" t="s">
        <v>682</v>
      </c>
      <c r="B227" s="3" t="s">
        <v>683</v>
      </c>
      <c r="C227" s="3">
        <v>24</v>
      </c>
      <c r="D227" s="3" t="s">
        <v>106</v>
      </c>
      <c r="E227" s="3" t="s">
        <v>23</v>
      </c>
      <c r="F227" s="3" t="s">
        <v>117</v>
      </c>
      <c r="G227" s="3">
        <v>41.4</v>
      </c>
      <c r="H227" s="3">
        <v>111</v>
      </c>
      <c r="I227" s="3">
        <v>77</v>
      </c>
      <c r="J227" s="3">
        <v>242</v>
      </c>
      <c r="K227" s="3">
        <v>160</v>
      </c>
      <c r="L227" s="3" t="s">
        <v>58</v>
      </c>
      <c r="M227" s="3">
        <v>6</v>
      </c>
      <c r="N227" s="3">
        <v>10</v>
      </c>
      <c r="O227" s="3" t="s">
        <v>26</v>
      </c>
      <c r="P227" s="3" t="s">
        <v>684</v>
      </c>
      <c r="Q227" s="3">
        <v>2</v>
      </c>
      <c r="R227" s="3">
        <v>2</v>
      </c>
      <c r="S227" s="3" t="s">
        <v>38</v>
      </c>
      <c r="T227" s="3" t="s">
        <v>26</v>
      </c>
    </row>
    <row r="228" spans="1:20" x14ac:dyDescent="0.35">
      <c r="A228" s="2" t="s">
        <v>685</v>
      </c>
      <c r="B228" s="2" t="s">
        <v>686</v>
      </c>
      <c r="C228" s="2">
        <v>44</v>
      </c>
      <c r="D228" s="2" t="s">
        <v>106</v>
      </c>
      <c r="E228" s="2" t="s">
        <v>74</v>
      </c>
      <c r="F228" s="2" t="s">
        <v>52</v>
      </c>
      <c r="G228" s="2">
        <v>32.200000000000003</v>
      </c>
      <c r="H228" s="2">
        <v>124</v>
      </c>
      <c r="I228" s="2">
        <v>89</v>
      </c>
      <c r="J228" s="2">
        <v>243</v>
      </c>
      <c r="K228" s="2">
        <v>217</v>
      </c>
      <c r="L228" s="2" t="s">
        <v>25</v>
      </c>
      <c r="M228" s="2">
        <v>4</v>
      </c>
      <c r="N228" s="2">
        <v>3</v>
      </c>
      <c r="O228" s="2" t="s">
        <v>44</v>
      </c>
      <c r="P228" s="2" t="s">
        <v>687</v>
      </c>
      <c r="Q228" s="2">
        <v>16</v>
      </c>
      <c r="R228" s="2">
        <v>9</v>
      </c>
      <c r="S228" s="2" t="s">
        <v>46</v>
      </c>
      <c r="T228" s="2" t="s">
        <v>35</v>
      </c>
    </row>
    <row r="229" spans="1:20" x14ac:dyDescent="0.35">
      <c r="A229" s="3" t="s">
        <v>688</v>
      </c>
      <c r="B229" s="3" t="s">
        <v>689</v>
      </c>
      <c r="C229" s="3">
        <v>56</v>
      </c>
      <c r="D229" s="3" t="s">
        <v>41</v>
      </c>
      <c r="E229" s="3" t="s">
        <v>81</v>
      </c>
      <c r="F229" s="3" t="s">
        <v>34</v>
      </c>
      <c r="G229" s="3">
        <v>31.1</v>
      </c>
      <c r="H229" s="3">
        <v>131</v>
      </c>
      <c r="I229" s="3">
        <v>81</v>
      </c>
      <c r="J229" s="3">
        <v>257</v>
      </c>
      <c r="K229" s="3">
        <v>244</v>
      </c>
      <c r="L229" s="3" t="s">
        <v>44</v>
      </c>
      <c r="M229" s="3" t="s">
        <v>54</v>
      </c>
      <c r="N229" s="3">
        <v>1</v>
      </c>
      <c r="O229" s="3" t="s">
        <v>76</v>
      </c>
      <c r="P229" s="3" t="s">
        <v>690</v>
      </c>
      <c r="Q229" s="3">
        <v>12</v>
      </c>
      <c r="R229" s="3">
        <v>20</v>
      </c>
      <c r="S229" s="3" t="s">
        <v>78</v>
      </c>
      <c r="T229" s="3" t="s">
        <v>29</v>
      </c>
    </row>
    <row r="230" spans="1:20" x14ac:dyDescent="0.35">
      <c r="A230" s="2" t="s">
        <v>691</v>
      </c>
      <c r="B230" s="2" t="s">
        <v>692</v>
      </c>
      <c r="C230" s="2">
        <v>44</v>
      </c>
      <c r="D230" s="2" t="s">
        <v>32</v>
      </c>
      <c r="E230" s="2" t="s">
        <v>74</v>
      </c>
      <c r="F230" s="2" t="s">
        <v>52</v>
      </c>
      <c r="G230" s="2">
        <v>24.2</v>
      </c>
      <c r="H230" s="2">
        <v>151</v>
      </c>
      <c r="I230" s="2">
        <v>103</v>
      </c>
      <c r="J230" s="2">
        <v>227</v>
      </c>
      <c r="K230" s="2">
        <v>89</v>
      </c>
      <c r="L230" s="2" t="s">
        <v>76</v>
      </c>
      <c r="M230" s="2">
        <v>2</v>
      </c>
      <c r="N230" s="2">
        <v>8</v>
      </c>
      <c r="O230" s="2" t="s">
        <v>36</v>
      </c>
      <c r="P230" s="2" t="s">
        <v>693</v>
      </c>
      <c r="Q230" s="2">
        <v>8</v>
      </c>
      <c r="R230" s="2">
        <v>5</v>
      </c>
      <c r="S230" s="2"/>
      <c r="T230" s="2" t="s">
        <v>29</v>
      </c>
    </row>
    <row r="231" spans="1:20" x14ac:dyDescent="0.35">
      <c r="A231" s="3" t="s">
        <v>694</v>
      </c>
      <c r="B231" s="3" t="s">
        <v>661</v>
      </c>
      <c r="C231" s="3">
        <v>37</v>
      </c>
      <c r="D231" s="3" t="s">
        <v>22</v>
      </c>
      <c r="E231" s="3" t="s">
        <v>74</v>
      </c>
      <c r="F231" s="3" t="s">
        <v>52</v>
      </c>
      <c r="G231" s="3">
        <v>22.7</v>
      </c>
      <c r="H231" s="3">
        <v>131</v>
      </c>
      <c r="I231" s="3">
        <v>99</v>
      </c>
      <c r="J231" s="3">
        <v>231</v>
      </c>
      <c r="K231" s="3">
        <v>109</v>
      </c>
      <c r="L231" s="3" t="s">
        <v>35</v>
      </c>
      <c r="M231" s="3">
        <v>1</v>
      </c>
      <c r="N231" s="3">
        <v>2</v>
      </c>
      <c r="O231" s="3" t="s">
        <v>76</v>
      </c>
      <c r="P231" s="3" t="s">
        <v>695</v>
      </c>
      <c r="Q231" s="3">
        <v>15</v>
      </c>
      <c r="R231" s="3">
        <v>11</v>
      </c>
      <c r="S231" s="3" t="s">
        <v>54</v>
      </c>
      <c r="T231" s="3" t="s">
        <v>47</v>
      </c>
    </row>
    <row r="232" spans="1:20" x14ac:dyDescent="0.35">
      <c r="A232" s="2" t="s">
        <v>696</v>
      </c>
      <c r="B232" s="2" t="s">
        <v>215</v>
      </c>
      <c r="C232" s="2">
        <v>39</v>
      </c>
      <c r="D232" s="2" t="s">
        <v>54</v>
      </c>
      <c r="E232" s="2" t="s">
        <v>33</v>
      </c>
      <c r="F232" s="2" t="s">
        <v>75</v>
      </c>
      <c r="G232" s="2">
        <v>24</v>
      </c>
      <c r="H232" s="2">
        <v>128</v>
      </c>
      <c r="I232" s="2">
        <v>96</v>
      </c>
      <c r="J232" s="2">
        <v>172</v>
      </c>
      <c r="K232" s="2">
        <v>83</v>
      </c>
      <c r="L232" s="2" t="s">
        <v>76</v>
      </c>
      <c r="M232" s="2">
        <v>6</v>
      </c>
      <c r="N232" s="2">
        <v>8</v>
      </c>
      <c r="O232" s="2" t="s">
        <v>25</v>
      </c>
      <c r="P232" s="2" t="s">
        <v>697</v>
      </c>
      <c r="Q232" s="2">
        <v>5</v>
      </c>
      <c r="R232" s="2">
        <v>14</v>
      </c>
      <c r="S232" s="2" t="s">
        <v>92</v>
      </c>
      <c r="T232" s="2" t="s">
        <v>100</v>
      </c>
    </row>
    <row r="233" spans="1:20" x14ac:dyDescent="0.35">
      <c r="A233" s="3" t="s">
        <v>698</v>
      </c>
      <c r="B233" s="3" t="s">
        <v>699</v>
      </c>
      <c r="C233" s="3">
        <v>22</v>
      </c>
      <c r="D233" s="3" t="s">
        <v>32</v>
      </c>
      <c r="E233" s="3" t="s">
        <v>23</v>
      </c>
      <c r="F233" s="3" t="s">
        <v>34</v>
      </c>
      <c r="G233" s="3">
        <v>31.5</v>
      </c>
      <c r="H233" s="3">
        <v>141</v>
      </c>
      <c r="I233" s="3">
        <v>83</v>
      </c>
      <c r="J233" s="3">
        <v>206</v>
      </c>
      <c r="K233" s="3">
        <v>117</v>
      </c>
      <c r="L233" s="3" t="s">
        <v>76</v>
      </c>
      <c r="M233" s="3">
        <v>4</v>
      </c>
      <c r="N233" s="3">
        <v>4</v>
      </c>
      <c r="O233" s="3" t="s">
        <v>68</v>
      </c>
      <c r="P233" s="3" t="s">
        <v>700</v>
      </c>
      <c r="Q233" s="3">
        <v>11</v>
      </c>
      <c r="R233" s="3">
        <v>5</v>
      </c>
      <c r="S233" s="3" t="s">
        <v>70</v>
      </c>
      <c r="T233" s="3"/>
    </row>
    <row r="234" spans="1:20" x14ac:dyDescent="0.35">
      <c r="A234" s="2" t="s">
        <v>701</v>
      </c>
      <c r="B234" s="2" t="s">
        <v>245</v>
      </c>
      <c r="C234" s="2">
        <v>45</v>
      </c>
      <c r="D234" s="2" t="s">
        <v>106</v>
      </c>
      <c r="E234" s="2" t="s">
        <v>65</v>
      </c>
      <c r="F234" s="2" t="s">
        <v>57</v>
      </c>
      <c r="G234" s="2">
        <v>28.3</v>
      </c>
      <c r="H234" s="2">
        <v>116</v>
      </c>
      <c r="I234" s="2">
        <v>96</v>
      </c>
      <c r="J234" s="2">
        <v>198</v>
      </c>
      <c r="K234" s="2">
        <v>95</v>
      </c>
      <c r="L234" s="2" t="s">
        <v>29</v>
      </c>
      <c r="M234" s="2">
        <v>3</v>
      </c>
      <c r="N234" s="2">
        <v>9</v>
      </c>
      <c r="O234" s="2" t="s">
        <v>44</v>
      </c>
      <c r="P234" s="2" t="s">
        <v>702</v>
      </c>
      <c r="Q234" s="2">
        <v>4</v>
      </c>
      <c r="R234" s="2">
        <v>15</v>
      </c>
      <c r="S234" s="2" t="s">
        <v>99</v>
      </c>
      <c r="T234" s="2" t="s">
        <v>61</v>
      </c>
    </row>
    <row r="235" spans="1:20" x14ac:dyDescent="0.35">
      <c r="A235" s="3" t="s">
        <v>703</v>
      </c>
      <c r="B235" s="3" t="s">
        <v>704</v>
      </c>
      <c r="C235" s="3">
        <v>30</v>
      </c>
      <c r="D235" s="3" t="s">
        <v>106</v>
      </c>
      <c r="E235" s="3" t="s">
        <v>81</v>
      </c>
      <c r="F235" s="3" t="s">
        <v>57</v>
      </c>
      <c r="G235" s="3">
        <v>23.3</v>
      </c>
      <c r="H235" s="3">
        <v>106</v>
      </c>
      <c r="I235" s="3">
        <v>85</v>
      </c>
      <c r="J235" s="3">
        <v>165</v>
      </c>
      <c r="K235" s="3">
        <v>246</v>
      </c>
      <c r="L235" s="3" t="s">
        <v>107</v>
      </c>
      <c r="M235" s="3">
        <v>0</v>
      </c>
      <c r="N235" s="3">
        <v>4</v>
      </c>
      <c r="O235" s="3" t="s">
        <v>68</v>
      </c>
      <c r="P235" s="3" t="s">
        <v>636</v>
      </c>
      <c r="Q235" s="3">
        <v>14</v>
      </c>
      <c r="R235" s="3">
        <v>10</v>
      </c>
      <c r="S235" s="3" t="s">
        <v>166</v>
      </c>
      <c r="T235" s="3" t="s">
        <v>47</v>
      </c>
    </row>
    <row r="236" spans="1:20" x14ac:dyDescent="0.35">
      <c r="A236" s="2" t="s">
        <v>705</v>
      </c>
      <c r="B236" s="2" t="s">
        <v>412</v>
      </c>
      <c r="C236" s="2">
        <v>57</v>
      </c>
      <c r="D236" s="2" t="s">
        <v>41</v>
      </c>
      <c r="E236" s="2" t="s">
        <v>127</v>
      </c>
      <c r="F236" s="2" t="s">
        <v>117</v>
      </c>
      <c r="G236" s="2">
        <v>27.3</v>
      </c>
      <c r="H236" s="2">
        <v>144</v>
      </c>
      <c r="I236" s="2">
        <v>103</v>
      </c>
      <c r="J236" s="2">
        <v>190</v>
      </c>
      <c r="K236" s="2">
        <v>217</v>
      </c>
      <c r="L236" s="2"/>
      <c r="M236" s="2" t="s">
        <v>67</v>
      </c>
      <c r="N236" s="2">
        <v>9</v>
      </c>
      <c r="O236" s="2" t="s">
        <v>29</v>
      </c>
      <c r="P236" s="2" t="s">
        <v>143</v>
      </c>
      <c r="Q236" s="2">
        <v>16</v>
      </c>
      <c r="R236" s="2">
        <v>15</v>
      </c>
      <c r="S236" s="2" t="s">
        <v>70</v>
      </c>
      <c r="T236" s="2" t="s">
        <v>35</v>
      </c>
    </row>
    <row r="237" spans="1:20" x14ac:dyDescent="0.35">
      <c r="A237" s="3" t="s">
        <v>706</v>
      </c>
      <c r="B237" s="3" t="s">
        <v>387</v>
      </c>
      <c r="C237" s="3">
        <v>40</v>
      </c>
      <c r="D237" s="3" t="s">
        <v>54</v>
      </c>
      <c r="E237" s="3" t="s">
        <v>33</v>
      </c>
      <c r="F237" s="3" t="s">
        <v>24</v>
      </c>
      <c r="G237" s="3">
        <v>33</v>
      </c>
      <c r="H237" s="3">
        <v>143</v>
      </c>
      <c r="I237" s="3">
        <v>86</v>
      </c>
      <c r="J237" s="3">
        <v>243</v>
      </c>
      <c r="K237" s="3">
        <v>88</v>
      </c>
      <c r="L237" s="3" t="s">
        <v>35</v>
      </c>
      <c r="M237" s="3">
        <v>2</v>
      </c>
      <c r="N237" s="3">
        <v>6</v>
      </c>
      <c r="O237" s="3" t="s">
        <v>26</v>
      </c>
      <c r="P237" s="3" t="s">
        <v>707</v>
      </c>
      <c r="Q237" s="3">
        <v>9</v>
      </c>
      <c r="R237" s="3">
        <v>8</v>
      </c>
      <c r="S237" s="3" t="s">
        <v>54</v>
      </c>
      <c r="T237" s="3"/>
    </row>
    <row r="238" spans="1:20" x14ac:dyDescent="0.35">
      <c r="A238" s="2" t="s">
        <v>708</v>
      </c>
      <c r="B238" s="2" t="s">
        <v>256</v>
      </c>
      <c r="C238" s="2">
        <v>45</v>
      </c>
      <c r="D238" s="2" t="s">
        <v>54</v>
      </c>
      <c r="E238" s="2" t="s">
        <v>65</v>
      </c>
      <c r="F238" s="2" t="s">
        <v>24</v>
      </c>
      <c r="G238" s="2">
        <v>21.6</v>
      </c>
      <c r="H238" s="2">
        <v>102</v>
      </c>
      <c r="I238" s="2">
        <v>68</v>
      </c>
      <c r="J238" s="2">
        <v>200</v>
      </c>
      <c r="K238" s="2">
        <v>239</v>
      </c>
      <c r="L238" s="2" t="s">
        <v>29</v>
      </c>
      <c r="M238" s="2">
        <v>1</v>
      </c>
      <c r="N238" s="2">
        <v>4</v>
      </c>
      <c r="O238" s="2" t="s">
        <v>29</v>
      </c>
      <c r="P238" s="2" t="s">
        <v>709</v>
      </c>
      <c r="Q238" s="2">
        <v>2</v>
      </c>
      <c r="R238" s="2">
        <v>15</v>
      </c>
      <c r="S238" s="2" t="s">
        <v>38</v>
      </c>
      <c r="T238" s="2" t="s">
        <v>25</v>
      </c>
    </row>
    <row r="239" spans="1:20" x14ac:dyDescent="0.35">
      <c r="A239" s="3" t="s">
        <v>710</v>
      </c>
      <c r="B239" s="3" t="s">
        <v>711</v>
      </c>
      <c r="C239" s="3">
        <v>55</v>
      </c>
      <c r="D239" s="3" t="s">
        <v>73</v>
      </c>
      <c r="E239" s="3" t="s">
        <v>131</v>
      </c>
      <c r="F239" s="3" t="s">
        <v>57</v>
      </c>
      <c r="G239" s="3">
        <v>32.5</v>
      </c>
      <c r="H239" s="3">
        <v>110</v>
      </c>
      <c r="I239" s="3">
        <v>101</v>
      </c>
      <c r="J239" s="3">
        <v>239</v>
      </c>
      <c r="K239" s="3">
        <v>149</v>
      </c>
      <c r="L239" s="3" t="s">
        <v>86</v>
      </c>
      <c r="M239" s="3">
        <v>3</v>
      </c>
      <c r="N239" s="3">
        <v>5</v>
      </c>
      <c r="O239" s="3" t="s">
        <v>76</v>
      </c>
      <c r="P239" s="3" t="s">
        <v>712</v>
      </c>
      <c r="Q239" s="3">
        <v>5</v>
      </c>
      <c r="R239" s="3">
        <v>0</v>
      </c>
      <c r="S239" s="3" t="s">
        <v>99</v>
      </c>
      <c r="T239" s="3" t="s">
        <v>47</v>
      </c>
    </row>
    <row r="240" spans="1:20" x14ac:dyDescent="0.35">
      <c r="A240" s="2" t="s">
        <v>713</v>
      </c>
      <c r="B240" s="2" t="s">
        <v>714</v>
      </c>
      <c r="C240" s="2">
        <v>51</v>
      </c>
      <c r="D240" s="2" t="s">
        <v>41</v>
      </c>
      <c r="E240" s="2" t="s">
        <v>51</v>
      </c>
      <c r="F240" s="2" t="s">
        <v>90</v>
      </c>
      <c r="G240" s="2">
        <v>20.399999999999999</v>
      </c>
      <c r="H240" s="2">
        <v>169</v>
      </c>
      <c r="I240" s="2">
        <v>71</v>
      </c>
      <c r="J240" s="2">
        <v>256</v>
      </c>
      <c r="K240" s="2">
        <v>231</v>
      </c>
      <c r="L240" s="2"/>
      <c r="M240" s="2">
        <v>6</v>
      </c>
      <c r="N240" s="2">
        <v>9</v>
      </c>
      <c r="O240" s="2" t="s">
        <v>68</v>
      </c>
      <c r="P240" s="2" t="s">
        <v>715</v>
      </c>
      <c r="Q240" s="2">
        <v>7</v>
      </c>
      <c r="R240" s="2">
        <v>2</v>
      </c>
      <c r="S240" s="2" t="s">
        <v>70</v>
      </c>
      <c r="T240" s="2" t="s">
        <v>26</v>
      </c>
    </row>
    <row r="241" spans="1:20" x14ac:dyDescent="0.35">
      <c r="A241" s="3" t="s">
        <v>716</v>
      </c>
      <c r="B241" s="3" t="s">
        <v>717</v>
      </c>
      <c r="C241" s="3">
        <v>38</v>
      </c>
      <c r="D241" s="3" t="s">
        <v>50</v>
      </c>
      <c r="E241" s="3" t="s">
        <v>74</v>
      </c>
      <c r="F241" s="3" t="s">
        <v>117</v>
      </c>
      <c r="G241" s="3">
        <v>17</v>
      </c>
      <c r="H241" s="3"/>
      <c r="I241" s="3">
        <v>82</v>
      </c>
      <c r="J241" s="3">
        <v>213</v>
      </c>
      <c r="K241" s="3">
        <v>190</v>
      </c>
      <c r="L241" s="3" t="s">
        <v>76</v>
      </c>
      <c r="M241" s="3">
        <v>0</v>
      </c>
      <c r="N241" s="3">
        <v>8</v>
      </c>
      <c r="O241" s="3" t="s">
        <v>76</v>
      </c>
      <c r="P241" s="3" t="s">
        <v>54</v>
      </c>
      <c r="Q241" s="3"/>
      <c r="R241" s="3">
        <v>19</v>
      </c>
      <c r="S241" s="3" t="s">
        <v>99</v>
      </c>
      <c r="T241" s="3" t="s">
        <v>100</v>
      </c>
    </row>
    <row r="242" spans="1:20" x14ac:dyDescent="0.35">
      <c r="A242" s="2" t="s">
        <v>718</v>
      </c>
      <c r="B242" s="2" t="s">
        <v>719</v>
      </c>
      <c r="C242" s="2">
        <v>48</v>
      </c>
      <c r="D242" s="2" t="s">
        <v>64</v>
      </c>
      <c r="E242" s="2" t="s">
        <v>65</v>
      </c>
      <c r="F242" s="2" t="s">
        <v>52</v>
      </c>
      <c r="G242" s="2">
        <v>21.1</v>
      </c>
      <c r="H242" s="2">
        <v>149</v>
      </c>
      <c r="I242" s="2">
        <v>84</v>
      </c>
      <c r="J242" s="2">
        <v>196</v>
      </c>
      <c r="K242" s="2">
        <v>137</v>
      </c>
      <c r="L242" s="2" t="s">
        <v>35</v>
      </c>
      <c r="M242" s="2">
        <v>6</v>
      </c>
      <c r="N242" s="2">
        <v>4</v>
      </c>
      <c r="O242" s="2" t="s">
        <v>68</v>
      </c>
      <c r="P242" s="2" t="s">
        <v>720</v>
      </c>
      <c r="Q242" s="2">
        <v>17</v>
      </c>
      <c r="R242" s="2">
        <v>8</v>
      </c>
      <c r="S242" s="2" t="s">
        <v>28</v>
      </c>
      <c r="T242" s="2" t="s">
        <v>29</v>
      </c>
    </row>
    <row r="243" spans="1:20" x14ac:dyDescent="0.35">
      <c r="A243" s="3" t="s">
        <v>721</v>
      </c>
      <c r="B243" s="3" t="s">
        <v>722</v>
      </c>
      <c r="C243" s="3">
        <v>30</v>
      </c>
      <c r="D243" s="3" t="s">
        <v>41</v>
      </c>
      <c r="E243" s="3" t="s">
        <v>131</v>
      </c>
      <c r="F243" s="3" t="s">
        <v>90</v>
      </c>
      <c r="G243" s="3">
        <v>32.4</v>
      </c>
      <c r="H243" s="3">
        <v>134</v>
      </c>
      <c r="I243" s="3">
        <v>104</v>
      </c>
      <c r="J243" s="3">
        <v>265</v>
      </c>
      <c r="K243" s="3">
        <v>118</v>
      </c>
      <c r="L243" s="3" t="s">
        <v>26</v>
      </c>
      <c r="M243" s="3">
        <v>0</v>
      </c>
      <c r="N243" s="3">
        <v>3</v>
      </c>
      <c r="O243" s="3" t="s">
        <v>25</v>
      </c>
      <c r="P243" s="3" t="s">
        <v>723</v>
      </c>
      <c r="Q243" s="3">
        <v>9</v>
      </c>
      <c r="R243" s="3">
        <v>8</v>
      </c>
      <c r="S243" s="3" t="s">
        <v>60</v>
      </c>
      <c r="T243" s="3" t="s">
        <v>54</v>
      </c>
    </row>
    <row r="244" spans="1:20" x14ac:dyDescent="0.35">
      <c r="A244" s="2" t="s">
        <v>724</v>
      </c>
      <c r="B244" s="2" t="s">
        <v>725</v>
      </c>
      <c r="C244" s="2">
        <v>27</v>
      </c>
      <c r="D244" s="2" t="s">
        <v>50</v>
      </c>
      <c r="E244" s="2" t="s">
        <v>161</v>
      </c>
      <c r="F244" s="2" t="s">
        <v>90</v>
      </c>
      <c r="G244" s="2">
        <v>22.4</v>
      </c>
      <c r="H244" s="2">
        <v>153</v>
      </c>
      <c r="I244" s="2">
        <v>79</v>
      </c>
      <c r="J244" s="2">
        <v>267</v>
      </c>
      <c r="K244" s="2">
        <v>165</v>
      </c>
      <c r="L244" s="2" t="s">
        <v>44</v>
      </c>
      <c r="M244" s="2">
        <v>0</v>
      </c>
      <c r="N244" s="2">
        <v>6</v>
      </c>
      <c r="O244" s="2" t="s">
        <v>35</v>
      </c>
      <c r="P244" s="2" t="s">
        <v>726</v>
      </c>
      <c r="Q244" s="2">
        <v>12</v>
      </c>
      <c r="R244" s="2">
        <v>2</v>
      </c>
      <c r="S244" s="2" t="s">
        <v>38</v>
      </c>
      <c r="T244" s="2" t="s">
        <v>54</v>
      </c>
    </row>
    <row r="245" spans="1:20" x14ac:dyDescent="0.35">
      <c r="A245" s="3" t="s">
        <v>727</v>
      </c>
      <c r="B245" s="3" t="s">
        <v>223</v>
      </c>
      <c r="C245" s="3">
        <v>38</v>
      </c>
      <c r="D245" s="3" t="s">
        <v>64</v>
      </c>
      <c r="E245" s="3" t="s">
        <v>161</v>
      </c>
      <c r="F245" s="3" t="s">
        <v>82</v>
      </c>
      <c r="G245" s="3">
        <v>41.4</v>
      </c>
      <c r="H245" s="3">
        <v>131</v>
      </c>
      <c r="I245" s="3">
        <v>84</v>
      </c>
      <c r="J245" s="3">
        <v>253</v>
      </c>
      <c r="K245" s="3">
        <v>133</v>
      </c>
      <c r="L245" s="3" t="s">
        <v>25</v>
      </c>
      <c r="M245" s="3">
        <v>3</v>
      </c>
      <c r="N245" s="3">
        <v>8</v>
      </c>
      <c r="O245" s="3" t="s">
        <v>35</v>
      </c>
      <c r="P245" s="3" t="s">
        <v>728</v>
      </c>
      <c r="Q245" s="3">
        <v>9</v>
      </c>
      <c r="R245" s="3">
        <v>10</v>
      </c>
      <c r="S245" s="3" t="s">
        <v>60</v>
      </c>
      <c r="T245" s="3" t="s">
        <v>25</v>
      </c>
    </row>
    <row r="246" spans="1:20" x14ac:dyDescent="0.35">
      <c r="A246" s="2" t="s">
        <v>729</v>
      </c>
      <c r="B246" s="2" t="s">
        <v>730</v>
      </c>
      <c r="C246" s="2">
        <v>29</v>
      </c>
      <c r="D246" s="2" t="s">
        <v>41</v>
      </c>
      <c r="E246" s="2" t="s">
        <v>81</v>
      </c>
      <c r="F246" s="2" t="s">
        <v>57</v>
      </c>
      <c r="G246" s="2">
        <v>22</v>
      </c>
      <c r="H246" s="2">
        <v>106</v>
      </c>
      <c r="I246" s="2">
        <v>102</v>
      </c>
      <c r="J246" s="2">
        <v>195</v>
      </c>
      <c r="K246" s="2">
        <v>98</v>
      </c>
      <c r="L246" s="2" t="s">
        <v>86</v>
      </c>
      <c r="M246" s="2" t="s">
        <v>67</v>
      </c>
      <c r="N246" s="2">
        <v>7</v>
      </c>
      <c r="O246" s="2" t="s">
        <v>36</v>
      </c>
      <c r="P246" s="2" t="s">
        <v>731</v>
      </c>
      <c r="Q246" s="2">
        <v>8</v>
      </c>
      <c r="R246" s="2">
        <v>18</v>
      </c>
      <c r="S246" s="2" t="s">
        <v>92</v>
      </c>
      <c r="T246" s="2"/>
    </row>
    <row r="247" spans="1:20" x14ac:dyDescent="0.35">
      <c r="A247" s="3" t="s">
        <v>732</v>
      </c>
      <c r="B247" s="3" t="s">
        <v>733</v>
      </c>
      <c r="C247" s="3">
        <v>24</v>
      </c>
      <c r="D247" s="3" t="s">
        <v>54</v>
      </c>
      <c r="E247" s="3" t="s">
        <v>42</v>
      </c>
      <c r="F247" s="3" t="s">
        <v>24</v>
      </c>
      <c r="G247" s="3">
        <v>26.3</v>
      </c>
      <c r="H247" s="3">
        <v>111</v>
      </c>
      <c r="I247" s="3">
        <v>75</v>
      </c>
      <c r="J247" s="3">
        <v>180</v>
      </c>
      <c r="K247" s="3">
        <v>197</v>
      </c>
      <c r="L247" s="3" t="s">
        <v>35</v>
      </c>
      <c r="M247" s="3" t="s">
        <v>67</v>
      </c>
      <c r="N247" s="3">
        <v>10</v>
      </c>
      <c r="O247" s="3" t="s">
        <v>36</v>
      </c>
      <c r="P247" s="3" t="s">
        <v>734</v>
      </c>
      <c r="Q247" s="3">
        <v>20</v>
      </c>
      <c r="R247" s="3">
        <v>4</v>
      </c>
      <c r="S247" s="3" t="s">
        <v>38</v>
      </c>
      <c r="T247" s="3" t="s">
        <v>35</v>
      </c>
    </row>
    <row r="248" spans="1:20" x14ac:dyDescent="0.35">
      <c r="A248" s="2" t="s">
        <v>735</v>
      </c>
      <c r="B248" s="2" t="s">
        <v>736</v>
      </c>
      <c r="C248" s="2">
        <v>36</v>
      </c>
      <c r="D248" s="2" t="s">
        <v>106</v>
      </c>
      <c r="E248" s="2" t="s">
        <v>51</v>
      </c>
      <c r="F248" s="2" t="s">
        <v>43</v>
      </c>
      <c r="G248" s="2">
        <v>37.1</v>
      </c>
      <c r="H248" s="2">
        <v>156</v>
      </c>
      <c r="I248" s="2">
        <v>72</v>
      </c>
      <c r="J248" s="2">
        <v>145</v>
      </c>
      <c r="K248" s="2">
        <v>246</v>
      </c>
      <c r="L248" s="2" t="s">
        <v>58</v>
      </c>
      <c r="M248" s="2">
        <v>5</v>
      </c>
      <c r="N248" s="2">
        <v>3</v>
      </c>
      <c r="O248" s="2" t="s">
        <v>68</v>
      </c>
      <c r="P248" s="2" t="s">
        <v>187</v>
      </c>
      <c r="Q248" s="2">
        <v>14</v>
      </c>
      <c r="R248" s="2">
        <v>17</v>
      </c>
      <c r="S248" s="2" t="s">
        <v>166</v>
      </c>
      <c r="T248" s="2" t="s">
        <v>100</v>
      </c>
    </row>
    <row r="249" spans="1:20" x14ac:dyDescent="0.35">
      <c r="A249" s="3" t="s">
        <v>737</v>
      </c>
      <c r="B249" s="3" t="s">
        <v>661</v>
      </c>
      <c r="C249" s="3">
        <v>58</v>
      </c>
      <c r="D249" s="3" t="s">
        <v>50</v>
      </c>
      <c r="E249" s="3" t="s">
        <v>51</v>
      </c>
      <c r="F249" s="3" t="s">
        <v>43</v>
      </c>
      <c r="G249" s="3">
        <v>25.1</v>
      </c>
      <c r="H249" s="3">
        <v>159</v>
      </c>
      <c r="I249" s="3">
        <v>77</v>
      </c>
      <c r="J249" s="3">
        <v>181</v>
      </c>
      <c r="K249" s="3">
        <v>87</v>
      </c>
      <c r="L249" s="3" t="s">
        <v>76</v>
      </c>
      <c r="M249" s="3">
        <v>2</v>
      </c>
      <c r="N249" s="3">
        <v>8</v>
      </c>
      <c r="O249" s="3" t="s">
        <v>68</v>
      </c>
      <c r="P249" s="3" t="s">
        <v>738</v>
      </c>
      <c r="Q249" s="3">
        <v>14</v>
      </c>
      <c r="R249" s="3">
        <v>0</v>
      </c>
      <c r="S249" s="3"/>
      <c r="T249" s="3" t="s">
        <v>100</v>
      </c>
    </row>
    <row r="250" spans="1:20" x14ac:dyDescent="0.35">
      <c r="A250" s="2" t="s">
        <v>739</v>
      </c>
      <c r="B250" s="2" t="s">
        <v>740</v>
      </c>
      <c r="C250" s="2">
        <v>23</v>
      </c>
      <c r="D250" s="2" t="s">
        <v>106</v>
      </c>
      <c r="E250" s="2" t="s">
        <v>42</v>
      </c>
      <c r="F250" s="2" t="s">
        <v>52</v>
      </c>
      <c r="G250" s="2">
        <v>25</v>
      </c>
      <c r="H250" s="2">
        <v>108</v>
      </c>
      <c r="I250" s="2">
        <v>102</v>
      </c>
      <c r="J250" s="2">
        <v>277</v>
      </c>
      <c r="K250" s="2">
        <v>169</v>
      </c>
      <c r="L250" s="2" t="s">
        <v>86</v>
      </c>
      <c r="M250" s="2"/>
      <c r="N250" s="2">
        <v>8</v>
      </c>
      <c r="O250" s="2" t="s">
        <v>29</v>
      </c>
      <c r="P250" s="2" t="s">
        <v>644</v>
      </c>
      <c r="Q250" s="2">
        <v>20</v>
      </c>
      <c r="R250" s="2">
        <v>10</v>
      </c>
      <c r="S250" s="2" t="s">
        <v>92</v>
      </c>
      <c r="T250" s="2" t="s">
        <v>35</v>
      </c>
    </row>
    <row r="251" spans="1:20" x14ac:dyDescent="0.35">
      <c r="A251" s="3" t="s">
        <v>741</v>
      </c>
      <c r="B251" s="3" t="s">
        <v>264</v>
      </c>
      <c r="C251" s="3">
        <v>24</v>
      </c>
      <c r="D251" s="3" t="s">
        <v>50</v>
      </c>
      <c r="E251" s="3" t="s">
        <v>33</v>
      </c>
      <c r="F251" s="3" t="s">
        <v>117</v>
      </c>
      <c r="G251" s="3">
        <v>22.1</v>
      </c>
      <c r="H251" s="3">
        <v>162</v>
      </c>
      <c r="I251" s="3">
        <v>72</v>
      </c>
      <c r="J251" s="3">
        <v>165</v>
      </c>
      <c r="K251" s="3">
        <v>78</v>
      </c>
      <c r="L251" s="3"/>
      <c r="M251" s="3" t="s">
        <v>67</v>
      </c>
      <c r="N251" s="3">
        <v>7</v>
      </c>
      <c r="O251" s="3" t="s">
        <v>76</v>
      </c>
      <c r="P251" s="3" t="s">
        <v>742</v>
      </c>
      <c r="Q251" s="3">
        <v>7</v>
      </c>
      <c r="R251" s="3">
        <v>19</v>
      </c>
      <c r="S251" s="3" t="s">
        <v>92</v>
      </c>
      <c r="T251" s="3" t="s">
        <v>25</v>
      </c>
    </row>
    <row r="252" spans="1:20" x14ac:dyDescent="0.35">
      <c r="A252" s="2" t="s">
        <v>743</v>
      </c>
      <c r="B252" s="2" t="s">
        <v>56</v>
      </c>
      <c r="C252" s="2">
        <v>27</v>
      </c>
      <c r="D252" s="2" t="s">
        <v>54</v>
      </c>
      <c r="E252" s="2" t="s">
        <v>161</v>
      </c>
      <c r="F252" s="2" t="s">
        <v>43</v>
      </c>
      <c r="G252" s="2">
        <v>31</v>
      </c>
      <c r="H252" s="2">
        <v>153</v>
      </c>
      <c r="I252" s="2">
        <v>83</v>
      </c>
      <c r="J252" s="2">
        <v>154</v>
      </c>
      <c r="K252" s="2">
        <v>227</v>
      </c>
      <c r="L252" s="2" t="s">
        <v>29</v>
      </c>
      <c r="M252" s="2"/>
      <c r="N252" s="2">
        <v>1</v>
      </c>
      <c r="O252" s="2" t="s">
        <v>35</v>
      </c>
      <c r="P252" s="2" t="s">
        <v>744</v>
      </c>
      <c r="Q252" s="2">
        <v>16</v>
      </c>
      <c r="R252" s="2">
        <v>3</v>
      </c>
      <c r="S252" s="2" t="s">
        <v>92</v>
      </c>
      <c r="T252" s="2" t="s">
        <v>29</v>
      </c>
    </row>
    <row r="253" spans="1:20" x14ac:dyDescent="0.35">
      <c r="A253" s="3" t="s">
        <v>745</v>
      </c>
      <c r="B253" s="3" t="s">
        <v>746</v>
      </c>
      <c r="C253" s="3">
        <v>34</v>
      </c>
      <c r="D253" s="3" t="s">
        <v>22</v>
      </c>
      <c r="E253" s="3" t="s">
        <v>51</v>
      </c>
      <c r="F253" s="3" t="s">
        <v>52</v>
      </c>
      <c r="G253" s="3">
        <v>31.3</v>
      </c>
      <c r="H253" s="3">
        <v>122</v>
      </c>
      <c r="I253" s="3">
        <v>95</v>
      </c>
      <c r="J253" s="3">
        <v>246</v>
      </c>
      <c r="K253" s="3">
        <v>97</v>
      </c>
      <c r="L253" s="3"/>
      <c r="M253" s="3">
        <v>5</v>
      </c>
      <c r="N253" s="3">
        <v>8</v>
      </c>
      <c r="O253" s="3" t="s">
        <v>44</v>
      </c>
      <c r="P253" s="3" t="s">
        <v>731</v>
      </c>
      <c r="Q253" s="3">
        <v>5</v>
      </c>
      <c r="R253" s="3">
        <v>17</v>
      </c>
      <c r="S253" s="3" t="s">
        <v>28</v>
      </c>
      <c r="T253" s="3" t="s">
        <v>100</v>
      </c>
    </row>
    <row r="254" spans="1:20" x14ac:dyDescent="0.35">
      <c r="A254" s="2" t="s">
        <v>747</v>
      </c>
      <c r="B254" s="2" t="s">
        <v>748</v>
      </c>
      <c r="C254" s="2">
        <v>56</v>
      </c>
      <c r="D254" s="2" t="s">
        <v>54</v>
      </c>
      <c r="E254" s="2" t="s">
        <v>127</v>
      </c>
      <c r="F254" s="2" t="s">
        <v>43</v>
      </c>
      <c r="G254" s="2">
        <v>30.8</v>
      </c>
      <c r="H254" s="2">
        <v>141</v>
      </c>
      <c r="I254" s="2">
        <v>83</v>
      </c>
      <c r="J254" s="2">
        <v>245</v>
      </c>
      <c r="K254" s="2">
        <v>232</v>
      </c>
      <c r="L254" s="2" t="s">
        <v>58</v>
      </c>
      <c r="M254" s="2">
        <v>5</v>
      </c>
      <c r="N254" s="2">
        <v>10</v>
      </c>
      <c r="O254" s="2" t="s">
        <v>26</v>
      </c>
      <c r="P254" s="2" t="s">
        <v>749</v>
      </c>
      <c r="Q254" s="2">
        <v>17</v>
      </c>
      <c r="R254" s="2">
        <v>8</v>
      </c>
      <c r="S254" s="2" t="s">
        <v>46</v>
      </c>
      <c r="T254" s="2" t="s">
        <v>54</v>
      </c>
    </row>
    <row r="255" spans="1:20" x14ac:dyDescent="0.35">
      <c r="A255" s="3" t="s">
        <v>750</v>
      </c>
      <c r="B255" s="3" t="s">
        <v>751</v>
      </c>
      <c r="C255" s="3">
        <v>22</v>
      </c>
      <c r="D255" s="3" t="s">
        <v>32</v>
      </c>
      <c r="E255" s="3" t="s">
        <v>74</v>
      </c>
      <c r="F255" s="3" t="s">
        <v>66</v>
      </c>
      <c r="G255" s="3">
        <v>17.399999999999999</v>
      </c>
      <c r="H255" s="3">
        <v>117</v>
      </c>
      <c r="I255" s="3">
        <v>79</v>
      </c>
      <c r="J255" s="3">
        <v>141</v>
      </c>
      <c r="K255" s="3">
        <v>146</v>
      </c>
      <c r="L255" s="3" t="s">
        <v>86</v>
      </c>
      <c r="M255" s="3">
        <v>3</v>
      </c>
      <c r="N255" s="3">
        <v>6</v>
      </c>
      <c r="O255" s="3" t="s">
        <v>25</v>
      </c>
      <c r="P255" s="3" t="s">
        <v>752</v>
      </c>
      <c r="Q255" s="3">
        <v>17</v>
      </c>
      <c r="R255" s="3">
        <v>18</v>
      </c>
      <c r="S255" s="3" t="s">
        <v>54</v>
      </c>
      <c r="T255" s="3" t="s">
        <v>61</v>
      </c>
    </row>
    <row r="256" spans="1:20" x14ac:dyDescent="0.35">
      <c r="A256" s="2" t="s">
        <v>753</v>
      </c>
      <c r="B256" s="2" t="s">
        <v>754</v>
      </c>
      <c r="C256" s="2">
        <v>51</v>
      </c>
      <c r="D256" s="2" t="s">
        <v>106</v>
      </c>
      <c r="E256" s="2" t="s">
        <v>33</v>
      </c>
      <c r="F256" s="2" t="s">
        <v>24</v>
      </c>
      <c r="G256" s="2">
        <v>23.6</v>
      </c>
      <c r="H256" s="2">
        <v>131</v>
      </c>
      <c r="I256" s="2">
        <v>74</v>
      </c>
      <c r="J256" s="2">
        <v>205</v>
      </c>
      <c r="K256" s="2">
        <v>146</v>
      </c>
      <c r="L256" s="2" t="s">
        <v>35</v>
      </c>
      <c r="M256" s="2" t="s">
        <v>54</v>
      </c>
      <c r="N256" s="2">
        <v>7</v>
      </c>
      <c r="O256" s="2" t="s">
        <v>26</v>
      </c>
      <c r="P256" s="2" t="s">
        <v>466</v>
      </c>
      <c r="Q256" s="2">
        <v>15</v>
      </c>
      <c r="R256" s="2">
        <v>5</v>
      </c>
      <c r="S256" s="2" t="s">
        <v>70</v>
      </c>
      <c r="T256" s="2" t="s">
        <v>35</v>
      </c>
    </row>
    <row r="257" spans="1:20" x14ac:dyDescent="0.35">
      <c r="A257" s="3" t="s">
        <v>755</v>
      </c>
      <c r="B257" s="3" t="s">
        <v>756</v>
      </c>
      <c r="C257" s="3">
        <v>24</v>
      </c>
      <c r="D257" s="3" t="s">
        <v>64</v>
      </c>
      <c r="E257" s="3" t="s">
        <v>131</v>
      </c>
      <c r="F257" s="3" t="s">
        <v>117</v>
      </c>
      <c r="G257" s="3">
        <v>40</v>
      </c>
      <c r="H257" s="3">
        <v>142</v>
      </c>
      <c r="I257" s="3">
        <v>82</v>
      </c>
      <c r="J257" s="3">
        <v>251</v>
      </c>
      <c r="K257" s="3">
        <v>176</v>
      </c>
      <c r="L257" s="3" t="s">
        <v>35</v>
      </c>
      <c r="M257" s="3">
        <v>3</v>
      </c>
      <c r="N257" s="3">
        <v>10</v>
      </c>
      <c r="O257" s="3" t="s">
        <v>25</v>
      </c>
      <c r="P257" s="3" t="s">
        <v>757</v>
      </c>
      <c r="Q257" s="3">
        <v>16</v>
      </c>
      <c r="R257" s="3">
        <v>1</v>
      </c>
      <c r="S257" s="3" t="s">
        <v>46</v>
      </c>
      <c r="T257" s="3" t="s">
        <v>100</v>
      </c>
    </row>
    <row r="258" spans="1:20" x14ac:dyDescent="0.35">
      <c r="A258" s="2" t="s">
        <v>758</v>
      </c>
      <c r="B258" s="2" t="s">
        <v>278</v>
      </c>
      <c r="C258" s="2">
        <v>42</v>
      </c>
      <c r="D258" s="2" t="s">
        <v>22</v>
      </c>
      <c r="E258" s="2" t="s">
        <v>33</v>
      </c>
      <c r="F258" s="2" t="s">
        <v>117</v>
      </c>
      <c r="G258" s="2">
        <v>33.799999999999997</v>
      </c>
      <c r="H258" s="2">
        <v>150</v>
      </c>
      <c r="I258" s="2">
        <v>88</v>
      </c>
      <c r="J258" s="2">
        <v>269</v>
      </c>
      <c r="K258" s="2">
        <v>93</v>
      </c>
      <c r="L258" s="2" t="s">
        <v>86</v>
      </c>
      <c r="M258" s="2">
        <v>6</v>
      </c>
      <c r="N258" s="2">
        <v>5</v>
      </c>
      <c r="O258" s="2" t="s">
        <v>44</v>
      </c>
      <c r="P258" s="2" t="s">
        <v>759</v>
      </c>
      <c r="Q258" s="2">
        <v>2</v>
      </c>
      <c r="R258" s="2">
        <v>15</v>
      </c>
      <c r="S258" s="2" t="s">
        <v>54</v>
      </c>
      <c r="T258" s="2" t="s">
        <v>25</v>
      </c>
    </row>
    <row r="259" spans="1:20" x14ac:dyDescent="0.35">
      <c r="A259" s="3" t="s">
        <v>760</v>
      </c>
      <c r="B259" s="3" t="s">
        <v>746</v>
      </c>
      <c r="C259" s="3">
        <v>38</v>
      </c>
      <c r="D259" s="3" t="s">
        <v>73</v>
      </c>
      <c r="E259" s="3" t="s">
        <v>65</v>
      </c>
      <c r="F259" s="3" t="s">
        <v>75</v>
      </c>
      <c r="G259" s="3">
        <v>27.9</v>
      </c>
      <c r="H259" s="3">
        <v>116</v>
      </c>
      <c r="I259" s="3">
        <v>68</v>
      </c>
      <c r="J259" s="3">
        <v>263</v>
      </c>
      <c r="K259" s="3">
        <v>213</v>
      </c>
      <c r="L259" s="3" t="s">
        <v>86</v>
      </c>
      <c r="M259" s="3">
        <v>7</v>
      </c>
      <c r="N259" s="3">
        <v>7</v>
      </c>
      <c r="O259" s="3" t="s">
        <v>26</v>
      </c>
      <c r="P259" s="3" t="s">
        <v>761</v>
      </c>
      <c r="Q259" s="3">
        <v>8</v>
      </c>
      <c r="R259" s="3">
        <v>13</v>
      </c>
      <c r="S259" s="3" t="s">
        <v>46</v>
      </c>
      <c r="T259" s="3" t="s">
        <v>35</v>
      </c>
    </row>
    <row r="260" spans="1:20" x14ac:dyDescent="0.35">
      <c r="A260" s="2" t="s">
        <v>762</v>
      </c>
      <c r="B260" s="2" t="s">
        <v>140</v>
      </c>
      <c r="C260" s="2">
        <v>49</v>
      </c>
      <c r="D260" s="2" t="s">
        <v>106</v>
      </c>
      <c r="E260" s="2" t="s">
        <v>127</v>
      </c>
      <c r="F260" s="2" t="s">
        <v>52</v>
      </c>
      <c r="G260" s="2">
        <v>25</v>
      </c>
      <c r="H260" s="2">
        <v>103</v>
      </c>
      <c r="I260" s="2">
        <v>79</v>
      </c>
      <c r="J260" s="2">
        <v>183</v>
      </c>
      <c r="K260" s="2">
        <v>159</v>
      </c>
      <c r="L260" s="2"/>
      <c r="M260" s="2">
        <v>7</v>
      </c>
      <c r="N260" s="2">
        <v>10</v>
      </c>
      <c r="O260" s="2" t="s">
        <v>29</v>
      </c>
      <c r="P260" s="2" t="s">
        <v>763</v>
      </c>
      <c r="Q260" s="2">
        <v>7</v>
      </c>
      <c r="R260" s="2">
        <v>6</v>
      </c>
      <c r="S260" s="2"/>
      <c r="T260" s="2" t="s">
        <v>47</v>
      </c>
    </row>
    <row r="261" spans="1:20" x14ac:dyDescent="0.35">
      <c r="A261" s="3" t="s">
        <v>764</v>
      </c>
      <c r="B261" s="3" t="s">
        <v>501</v>
      </c>
      <c r="C261" s="3">
        <v>29</v>
      </c>
      <c r="D261" s="3" t="s">
        <v>32</v>
      </c>
      <c r="E261" s="3" t="s">
        <v>23</v>
      </c>
      <c r="F261" s="3" t="s">
        <v>66</v>
      </c>
      <c r="G261" s="3">
        <v>40.200000000000003</v>
      </c>
      <c r="H261" s="3">
        <v>136</v>
      </c>
      <c r="I261" s="3">
        <v>60</v>
      </c>
      <c r="J261" s="3">
        <v>227</v>
      </c>
      <c r="K261" s="3">
        <v>247</v>
      </c>
      <c r="L261" s="3" t="s">
        <v>35</v>
      </c>
      <c r="M261" s="3">
        <v>4</v>
      </c>
      <c r="N261" s="3">
        <v>8</v>
      </c>
      <c r="O261" s="3" t="s">
        <v>76</v>
      </c>
      <c r="P261" s="3" t="s">
        <v>489</v>
      </c>
      <c r="Q261" s="3">
        <v>17</v>
      </c>
      <c r="R261" s="3">
        <v>6</v>
      </c>
      <c r="S261" s="3" t="s">
        <v>78</v>
      </c>
      <c r="T261" s="3" t="s">
        <v>100</v>
      </c>
    </row>
    <row r="262" spans="1:20" x14ac:dyDescent="0.35">
      <c r="A262" s="2" t="s">
        <v>765</v>
      </c>
      <c r="B262" s="2" t="s">
        <v>689</v>
      </c>
      <c r="C262" s="2">
        <v>57</v>
      </c>
      <c r="D262" s="2" t="s">
        <v>54</v>
      </c>
      <c r="E262" s="2" t="s">
        <v>42</v>
      </c>
      <c r="F262" s="2" t="s">
        <v>24</v>
      </c>
      <c r="G262" s="2">
        <v>34.4</v>
      </c>
      <c r="H262" s="2">
        <v>102</v>
      </c>
      <c r="I262" s="2">
        <v>84</v>
      </c>
      <c r="J262" s="2">
        <v>274</v>
      </c>
      <c r="K262" s="2">
        <v>81</v>
      </c>
      <c r="L262" s="2" t="s">
        <v>29</v>
      </c>
      <c r="M262" s="2">
        <v>2</v>
      </c>
      <c r="N262" s="2">
        <v>1</v>
      </c>
      <c r="O262" s="2" t="s">
        <v>68</v>
      </c>
      <c r="P262" s="2" t="s">
        <v>766</v>
      </c>
      <c r="Q262" s="2">
        <v>8</v>
      </c>
      <c r="R262" s="2">
        <v>1</v>
      </c>
      <c r="S262" s="2" t="s">
        <v>70</v>
      </c>
      <c r="T262" s="2" t="s">
        <v>25</v>
      </c>
    </row>
    <row r="263" spans="1:20" x14ac:dyDescent="0.35">
      <c r="A263" s="3" t="s">
        <v>767</v>
      </c>
      <c r="B263" s="3" t="s">
        <v>338</v>
      </c>
      <c r="C263" s="3">
        <v>39</v>
      </c>
      <c r="D263" s="3" t="s">
        <v>106</v>
      </c>
      <c r="E263" s="3" t="s">
        <v>131</v>
      </c>
      <c r="F263" s="3" t="s">
        <v>117</v>
      </c>
      <c r="G263" s="3">
        <v>24.3</v>
      </c>
      <c r="H263" s="3">
        <v>149</v>
      </c>
      <c r="I263" s="3">
        <v>74</v>
      </c>
      <c r="J263" s="3">
        <v>237</v>
      </c>
      <c r="K263" s="3">
        <v>200</v>
      </c>
      <c r="L263" s="3" t="s">
        <v>35</v>
      </c>
      <c r="M263" s="3">
        <v>5</v>
      </c>
      <c r="N263" s="3">
        <v>8</v>
      </c>
      <c r="O263" s="3" t="s">
        <v>35</v>
      </c>
      <c r="P263" s="3" t="s">
        <v>768</v>
      </c>
      <c r="Q263" s="3">
        <v>14</v>
      </c>
      <c r="R263" s="3">
        <v>17</v>
      </c>
      <c r="S263" s="3" t="s">
        <v>99</v>
      </c>
      <c r="T263" s="3" t="s">
        <v>25</v>
      </c>
    </row>
    <row r="264" spans="1:20" x14ac:dyDescent="0.35">
      <c r="A264" s="2" t="s">
        <v>769</v>
      </c>
      <c r="B264" s="2" t="s">
        <v>486</v>
      </c>
      <c r="C264" s="2">
        <v>41</v>
      </c>
      <c r="D264" s="2" t="s">
        <v>106</v>
      </c>
      <c r="E264" s="2" t="s">
        <v>81</v>
      </c>
      <c r="F264" s="2" t="s">
        <v>34</v>
      </c>
      <c r="G264" s="2">
        <v>35.6</v>
      </c>
      <c r="H264" s="2">
        <v>102</v>
      </c>
      <c r="I264" s="2">
        <v>82</v>
      </c>
      <c r="J264" s="2">
        <v>230</v>
      </c>
      <c r="K264" s="2">
        <v>160</v>
      </c>
      <c r="L264" s="2" t="s">
        <v>29</v>
      </c>
      <c r="M264" s="2">
        <v>3</v>
      </c>
      <c r="N264" s="2">
        <v>9</v>
      </c>
      <c r="O264" s="2" t="s">
        <v>68</v>
      </c>
      <c r="P264" s="2" t="s">
        <v>770</v>
      </c>
      <c r="Q264" s="2">
        <v>12</v>
      </c>
      <c r="R264" s="2">
        <v>0</v>
      </c>
      <c r="S264" s="2" t="s">
        <v>38</v>
      </c>
      <c r="T264" s="2" t="s">
        <v>26</v>
      </c>
    </row>
    <row r="265" spans="1:20" x14ac:dyDescent="0.35">
      <c r="A265" s="3" t="s">
        <v>771</v>
      </c>
      <c r="B265" s="3" t="s">
        <v>504</v>
      </c>
      <c r="C265" s="3">
        <v>43</v>
      </c>
      <c r="D265" s="3" t="s">
        <v>64</v>
      </c>
      <c r="E265" s="3" t="s">
        <v>33</v>
      </c>
      <c r="F265" s="3" t="s">
        <v>82</v>
      </c>
      <c r="G265" s="3">
        <v>35.200000000000003</v>
      </c>
      <c r="H265" s="3">
        <v>166</v>
      </c>
      <c r="I265" s="3">
        <v>103</v>
      </c>
      <c r="J265" s="3">
        <v>198</v>
      </c>
      <c r="K265" s="3">
        <v>176</v>
      </c>
      <c r="L265" s="3" t="s">
        <v>86</v>
      </c>
      <c r="M265" s="3" t="s">
        <v>54</v>
      </c>
      <c r="N265" s="3">
        <v>3</v>
      </c>
      <c r="O265" s="3" t="s">
        <v>44</v>
      </c>
      <c r="P265" s="3" t="s">
        <v>772</v>
      </c>
      <c r="Q265" s="3">
        <v>14</v>
      </c>
      <c r="R265" s="3">
        <v>17</v>
      </c>
      <c r="S265" s="3" t="s">
        <v>60</v>
      </c>
      <c r="T265" s="3" t="s">
        <v>29</v>
      </c>
    </row>
    <row r="266" spans="1:20" x14ac:dyDescent="0.35">
      <c r="A266" s="2" t="s">
        <v>773</v>
      </c>
      <c r="B266" s="2" t="s">
        <v>774</v>
      </c>
      <c r="C266" s="2">
        <v>56</v>
      </c>
      <c r="D266" s="2" t="s">
        <v>22</v>
      </c>
      <c r="E266" s="2" t="s">
        <v>33</v>
      </c>
      <c r="F266" s="2" t="s">
        <v>57</v>
      </c>
      <c r="G266" s="2">
        <v>34.200000000000003</v>
      </c>
      <c r="H266" s="2">
        <v>167</v>
      </c>
      <c r="I266" s="2">
        <v>68</v>
      </c>
      <c r="J266" s="2">
        <v>250</v>
      </c>
      <c r="K266" s="2">
        <v>107</v>
      </c>
      <c r="L266" s="2"/>
      <c r="M266" s="2">
        <v>2</v>
      </c>
      <c r="N266" s="2">
        <v>6</v>
      </c>
      <c r="O266" s="2" t="s">
        <v>35</v>
      </c>
      <c r="P266" s="2" t="s">
        <v>775</v>
      </c>
      <c r="Q266" s="2">
        <v>4</v>
      </c>
      <c r="R266" s="2">
        <v>0</v>
      </c>
      <c r="S266" s="2" t="s">
        <v>46</v>
      </c>
      <c r="T266" s="2"/>
    </row>
    <row r="267" spans="1:20" x14ac:dyDescent="0.35">
      <c r="A267" s="3" t="s">
        <v>776</v>
      </c>
      <c r="B267" s="3" t="s">
        <v>777</v>
      </c>
      <c r="C267" s="3">
        <v>50</v>
      </c>
      <c r="D267" s="3" t="s">
        <v>41</v>
      </c>
      <c r="E267" s="3" t="s">
        <v>33</v>
      </c>
      <c r="F267" s="3" t="s">
        <v>52</v>
      </c>
      <c r="G267" s="3">
        <v>19.7</v>
      </c>
      <c r="H267" s="3">
        <v>123</v>
      </c>
      <c r="I267" s="3">
        <v>61</v>
      </c>
      <c r="J267" s="3">
        <v>208</v>
      </c>
      <c r="K267" s="3">
        <v>225</v>
      </c>
      <c r="L267" s="3"/>
      <c r="M267" s="3" t="s">
        <v>54</v>
      </c>
      <c r="N267" s="3">
        <v>4</v>
      </c>
      <c r="O267" s="3" t="s">
        <v>26</v>
      </c>
      <c r="P267" s="3" t="s">
        <v>778</v>
      </c>
      <c r="Q267" s="3">
        <v>11</v>
      </c>
      <c r="R267" s="3">
        <v>2</v>
      </c>
      <c r="S267" s="3" t="s">
        <v>70</v>
      </c>
      <c r="T267" s="3" t="s">
        <v>61</v>
      </c>
    </row>
    <row r="268" spans="1:20" x14ac:dyDescent="0.35">
      <c r="A268" s="2" t="s">
        <v>779</v>
      </c>
      <c r="B268" s="2" t="s">
        <v>562</v>
      </c>
      <c r="C268" s="2">
        <v>52</v>
      </c>
      <c r="D268" s="2" t="s">
        <v>106</v>
      </c>
      <c r="E268" s="2" t="s">
        <v>33</v>
      </c>
      <c r="F268" s="2" t="s">
        <v>34</v>
      </c>
      <c r="G268" s="2">
        <v>29.3</v>
      </c>
      <c r="H268" s="2">
        <v>117</v>
      </c>
      <c r="I268" s="2">
        <v>70</v>
      </c>
      <c r="J268" s="2">
        <v>189</v>
      </c>
      <c r="K268" s="2">
        <v>127</v>
      </c>
      <c r="L268" s="2" t="s">
        <v>25</v>
      </c>
      <c r="M268" s="2">
        <v>6</v>
      </c>
      <c r="N268" s="2">
        <v>1</v>
      </c>
      <c r="O268" s="2" t="s">
        <v>68</v>
      </c>
      <c r="P268" s="2" t="s">
        <v>780</v>
      </c>
      <c r="Q268" s="2">
        <v>6</v>
      </c>
      <c r="R268" s="2">
        <v>6</v>
      </c>
      <c r="S268" s="2" t="s">
        <v>92</v>
      </c>
      <c r="T268" s="2" t="s">
        <v>61</v>
      </c>
    </row>
    <row r="269" spans="1:20" x14ac:dyDescent="0.35">
      <c r="A269" s="3" t="s">
        <v>781</v>
      </c>
      <c r="B269" s="3" t="s">
        <v>782</v>
      </c>
      <c r="C269" s="3">
        <v>53</v>
      </c>
      <c r="D269" s="3" t="s">
        <v>106</v>
      </c>
      <c r="E269" s="3" t="s">
        <v>81</v>
      </c>
      <c r="F269" s="3" t="s">
        <v>52</v>
      </c>
      <c r="G269" s="3">
        <v>27.7</v>
      </c>
      <c r="H269" s="3">
        <v>105</v>
      </c>
      <c r="I269" s="3">
        <v>98</v>
      </c>
      <c r="J269" s="3">
        <v>237</v>
      </c>
      <c r="K269" s="3">
        <v>150</v>
      </c>
      <c r="L269" s="3" t="s">
        <v>58</v>
      </c>
      <c r="M269" s="3" t="s">
        <v>54</v>
      </c>
      <c r="N269" s="3">
        <v>10</v>
      </c>
      <c r="O269" s="3" t="s">
        <v>25</v>
      </c>
      <c r="P269" s="3" t="s">
        <v>320</v>
      </c>
      <c r="Q269" s="3">
        <v>1</v>
      </c>
      <c r="R269" s="3">
        <v>7</v>
      </c>
      <c r="S269" s="3" t="s">
        <v>38</v>
      </c>
      <c r="T269" s="3" t="s">
        <v>100</v>
      </c>
    </row>
    <row r="270" spans="1:20" x14ac:dyDescent="0.35">
      <c r="A270" s="2" t="s">
        <v>783</v>
      </c>
      <c r="B270" s="2" t="s">
        <v>784</v>
      </c>
      <c r="C270" s="2">
        <v>57</v>
      </c>
      <c r="D270" s="2" t="s">
        <v>64</v>
      </c>
      <c r="E270" s="2" t="s">
        <v>51</v>
      </c>
      <c r="F270" s="2" t="s">
        <v>117</v>
      </c>
      <c r="G270" s="2">
        <v>21.7</v>
      </c>
      <c r="H270" s="2">
        <v>156</v>
      </c>
      <c r="I270" s="2">
        <v>85</v>
      </c>
      <c r="J270" s="2">
        <v>217</v>
      </c>
      <c r="K270" s="2">
        <v>143</v>
      </c>
      <c r="L270" s="2" t="s">
        <v>44</v>
      </c>
      <c r="M270" s="2">
        <v>2</v>
      </c>
      <c r="N270" s="2">
        <v>7</v>
      </c>
      <c r="O270" s="2" t="s">
        <v>68</v>
      </c>
      <c r="P270" s="2" t="s">
        <v>785</v>
      </c>
      <c r="Q270" s="2">
        <v>4</v>
      </c>
      <c r="R270" s="2">
        <v>14</v>
      </c>
      <c r="S270" s="2"/>
      <c r="T270" s="2" t="s">
        <v>54</v>
      </c>
    </row>
    <row r="271" spans="1:20" x14ac:dyDescent="0.35">
      <c r="A271" s="3" t="s">
        <v>786</v>
      </c>
      <c r="B271" s="3" t="s">
        <v>787</v>
      </c>
      <c r="C271" s="3">
        <v>29</v>
      </c>
      <c r="D271" s="3" t="s">
        <v>50</v>
      </c>
      <c r="E271" s="3" t="s">
        <v>42</v>
      </c>
      <c r="F271" s="3" t="s">
        <v>75</v>
      </c>
      <c r="G271" s="3">
        <v>20.399999999999999</v>
      </c>
      <c r="H271" s="3">
        <v>152</v>
      </c>
      <c r="I271" s="3">
        <v>80</v>
      </c>
      <c r="J271" s="3">
        <v>255</v>
      </c>
      <c r="K271" s="3">
        <v>76</v>
      </c>
      <c r="L271" s="3" t="s">
        <v>107</v>
      </c>
      <c r="M271" s="3">
        <v>7</v>
      </c>
      <c r="N271" s="3"/>
      <c r="O271" s="3" t="s">
        <v>26</v>
      </c>
      <c r="P271" s="3" t="s">
        <v>328</v>
      </c>
      <c r="Q271" s="3">
        <v>20</v>
      </c>
      <c r="R271" s="3">
        <v>5</v>
      </c>
      <c r="S271" s="3" t="s">
        <v>92</v>
      </c>
      <c r="T271" s="3" t="s">
        <v>35</v>
      </c>
    </row>
    <row r="272" spans="1:20" x14ac:dyDescent="0.35">
      <c r="A272" s="2" t="s">
        <v>788</v>
      </c>
      <c r="B272" s="2" t="s">
        <v>789</v>
      </c>
      <c r="C272" s="2">
        <v>62</v>
      </c>
      <c r="D272" s="2" t="s">
        <v>106</v>
      </c>
      <c r="E272" s="2" t="s">
        <v>131</v>
      </c>
      <c r="F272" s="2" t="s">
        <v>75</v>
      </c>
      <c r="G272" s="2">
        <v>34.700000000000003</v>
      </c>
      <c r="H272" s="2">
        <v>165</v>
      </c>
      <c r="I272" s="2">
        <v>99</v>
      </c>
      <c r="J272" s="2">
        <v>180</v>
      </c>
      <c r="K272" s="2">
        <v>166</v>
      </c>
      <c r="L272" s="2" t="s">
        <v>76</v>
      </c>
      <c r="M272" s="2">
        <v>6</v>
      </c>
      <c r="N272" s="2">
        <v>1</v>
      </c>
      <c r="O272" s="2" t="s">
        <v>29</v>
      </c>
      <c r="P272" s="2" t="s">
        <v>405</v>
      </c>
      <c r="Q272" s="2">
        <v>4</v>
      </c>
      <c r="R272" s="2">
        <v>5</v>
      </c>
      <c r="S272" s="2" t="s">
        <v>60</v>
      </c>
      <c r="T272" s="2" t="s">
        <v>61</v>
      </c>
    </row>
    <row r="273" spans="1:20" x14ac:dyDescent="0.35">
      <c r="A273" s="3" t="s">
        <v>790</v>
      </c>
      <c r="B273" s="3" t="s">
        <v>284</v>
      </c>
      <c r="C273" s="3">
        <v>41</v>
      </c>
      <c r="D273" s="3" t="s">
        <v>41</v>
      </c>
      <c r="E273" s="3" t="s">
        <v>81</v>
      </c>
      <c r="F273" s="3" t="s">
        <v>57</v>
      </c>
      <c r="G273" s="3">
        <v>32.700000000000003</v>
      </c>
      <c r="H273" s="3">
        <v>115</v>
      </c>
      <c r="I273" s="3">
        <v>68</v>
      </c>
      <c r="J273" s="3">
        <v>191</v>
      </c>
      <c r="K273" s="3">
        <v>70</v>
      </c>
      <c r="L273" s="3"/>
      <c r="M273" s="3">
        <v>4</v>
      </c>
      <c r="N273" s="3">
        <v>1</v>
      </c>
      <c r="O273" s="3" t="s">
        <v>76</v>
      </c>
      <c r="P273" s="3" t="s">
        <v>791</v>
      </c>
      <c r="Q273" s="3">
        <v>0</v>
      </c>
      <c r="R273" s="3">
        <v>19</v>
      </c>
      <c r="S273" s="3" t="s">
        <v>70</v>
      </c>
      <c r="T273" s="3" t="s">
        <v>29</v>
      </c>
    </row>
    <row r="274" spans="1:20" x14ac:dyDescent="0.35">
      <c r="A274" s="2" t="s">
        <v>792</v>
      </c>
      <c r="B274" s="2" t="s">
        <v>407</v>
      </c>
      <c r="C274" s="2">
        <v>52</v>
      </c>
      <c r="D274" s="2" t="s">
        <v>54</v>
      </c>
      <c r="E274" s="2" t="s">
        <v>65</v>
      </c>
      <c r="F274" s="2" t="s">
        <v>90</v>
      </c>
      <c r="G274" s="2">
        <v>19</v>
      </c>
      <c r="H274" s="2">
        <v>100</v>
      </c>
      <c r="I274" s="2">
        <v>75</v>
      </c>
      <c r="J274" s="2">
        <v>280</v>
      </c>
      <c r="K274" s="2">
        <v>141</v>
      </c>
      <c r="L274" s="2"/>
      <c r="M274" s="2" t="s">
        <v>67</v>
      </c>
      <c r="N274" s="2">
        <v>9</v>
      </c>
      <c r="O274" s="2" t="s">
        <v>26</v>
      </c>
      <c r="P274" s="2" t="s">
        <v>178</v>
      </c>
      <c r="Q274" s="2">
        <v>1</v>
      </c>
      <c r="R274" s="2">
        <v>20</v>
      </c>
      <c r="S274" s="2" t="s">
        <v>46</v>
      </c>
      <c r="T274" s="2" t="s">
        <v>25</v>
      </c>
    </row>
    <row r="275" spans="1:20" x14ac:dyDescent="0.35">
      <c r="A275" s="3" t="s">
        <v>793</v>
      </c>
      <c r="B275" s="3" t="s">
        <v>794</v>
      </c>
      <c r="C275" s="3">
        <v>58</v>
      </c>
      <c r="D275" s="3" t="s">
        <v>41</v>
      </c>
      <c r="E275" s="3" t="s">
        <v>127</v>
      </c>
      <c r="F275" s="3" t="s">
        <v>82</v>
      </c>
      <c r="G275" s="3">
        <v>18.2</v>
      </c>
      <c r="H275" s="3">
        <v>153</v>
      </c>
      <c r="I275" s="3">
        <v>71</v>
      </c>
      <c r="J275" s="3">
        <v>181</v>
      </c>
      <c r="K275" s="3">
        <v>242</v>
      </c>
      <c r="L275" s="3" t="s">
        <v>29</v>
      </c>
      <c r="M275" s="3" t="s">
        <v>54</v>
      </c>
      <c r="N275" s="3">
        <v>10</v>
      </c>
      <c r="O275" s="3" t="s">
        <v>29</v>
      </c>
      <c r="P275" s="3" t="s">
        <v>795</v>
      </c>
      <c r="Q275" s="3">
        <v>11</v>
      </c>
      <c r="R275" s="3">
        <v>1</v>
      </c>
      <c r="S275" s="3" t="s">
        <v>92</v>
      </c>
      <c r="T275" s="3" t="s">
        <v>26</v>
      </c>
    </row>
    <row r="276" spans="1:20" x14ac:dyDescent="0.35">
      <c r="A276" s="2" t="s">
        <v>796</v>
      </c>
      <c r="B276" s="2" t="s">
        <v>643</v>
      </c>
      <c r="C276" s="2">
        <v>46</v>
      </c>
      <c r="D276" s="2" t="s">
        <v>73</v>
      </c>
      <c r="E276" s="2" t="s">
        <v>65</v>
      </c>
      <c r="F276" s="2" t="s">
        <v>75</v>
      </c>
      <c r="G276" s="2">
        <v>18.600000000000001</v>
      </c>
      <c r="H276" s="2">
        <v>160</v>
      </c>
      <c r="I276" s="2">
        <v>68</v>
      </c>
      <c r="J276" s="2"/>
      <c r="K276" s="2">
        <v>247</v>
      </c>
      <c r="L276" s="2" t="s">
        <v>29</v>
      </c>
      <c r="M276" s="2">
        <v>5</v>
      </c>
      <c r="N276" s="2">
        <v>9</v>
      </c>
      <c r="O276" s="2" t="s">
        <v>44</v>
      </c>
      <c r="P276" s="2" t="s">
        <v>797</v>
      </c>
      <c r="Q276" s="2">
        <v>19</v>
      </c>
      <c r="R276" s="2">
        <v>1</v>
      </c>
      <c r="S276" s="2" t="s">
        <v>92</v>
      </c>
      <c r="T276" s="2" t="s">
        <v>100</v>
      </c>
    </row>
    <row r="277" spans="1:20" x14ac:dyDescent="0.35">
      <c r="A277" s="3" t="s">
        <v>798</v>
      </c>
      <c r="B277" s="3" t="s">
        <v>799</v>
      </c>
      <c r="C277" s="3">
        <v>60</v>
      </c>
      <c r="D277" s="3" t="s">
        <v>41</v>
      </c>
      <c r="E277" s="3" t="s">
        <v>65</v>
      </c>
      <c r="F277" s="3" t="s">
        <v>66</v>
      </c>
      <c r="G277" s="3">
        <v>38.200000000000003</v>
      </c>
      <c r="H277" s="3">
        <v>133</v>
      </c>
      <c r="I277" s="3">
        <v>93</v>
      </c>
      <c r="J277" s="3">
        <v>230</v>
      </c>
      <c r="K277" s="3">
        <v>103</v>
      </c>
      <c r="L277" s="3"/>
      <c r="M277" s="3" t="s">
        <v>54</v>
      </c>
      <c r="N277" s="3">
        <v>8</v>
      </c>
      <c r="O277" s="3" t="s">
        <v>76</v>
      </c>
      <c r="P277" s="3" t="s">
        <v>800</v>
      </c>
      <c r="Q277" s="3">
        <v>7</v>
      </c>
      <c r="R277" s="3">
        <v>9</v>
      </c>
      <c r="S277" s="3" t="s">
        <v>78</v>
      </c>
      <c r="T277" s="3" t="s">
        <v>25</v>
      </c>
    </row>
    <row r="278" spans="1:20" x14ac:dyDescent="0.35">
      <c r="A278" s="2" t="s">
        <v>801</v>
      </c>
      <c r="B278" s="2" t="s">
        <v>21</v>
      </c>
      <c r="C278" s="2">
        <v>51</v>
      </c>
      <c r="D278" s="2" t="s">
        <v>73</v>
      </c>
      <c r="E278" s="2" t="s">
        <v>23</v>
      </c>
      <c r="F278" s="2" t="s">
        <v>66</v>
      </c>
      <c r="G278" s="2">
        <v>42</v>
      </c>
      <c r="H278" s="2">
        <v>152</v>
      </c>
      <c r="I278" s="2">
        <v>62</v>
      </c>
      <c r="J278" s="2">
        <v>225</v>
      </c>
      <c r="K278" s="2">
        <v>159</v>
      </c>
      <c r="L278" s="2" t="s">
        <v>76</v>
      </c>
      <c r="M278" s="2" t="s">
        <v>67</v>
      </c>
      <c r="N278" s="2">
        <v>4</v>
      </c>
      <c r="O278" s="2" t="s">
        <v>25</v>
      </c>
      <c r="P278" s="2" t="s">
        <v>802</v>
      </c>
      <c r="Q278" s="2">
        <v>8</v>
      </c>
      <c r="R278" s="2">
        <v>2</v>
      </c>
      <c r="S278" s="2" t="s">
        <v>166</v>
      </c>
      <c r="T278" s="2" t="s">
        <v>26</v>
      </c>
    </row>
    <row r="279" spans="1:20" x14ac:dyDescent="0.35">
      <c r="A279" s="3" t="s">
        <v>803</v>
      </c>
      <c r="B279" s="3" t="s">
        <v>298</v>
      </c>
      <c r="C279" s="3">
        <v>42</v>
      </c>
      <c r="D279" s="3" t="s">
        <v>32</v>
      </c>
      <c r="E279" s="3" t="s">
        <v>131</v>
      </c>
      <c r="F279" s="3" t="s">
        <v>43</v>
      </c>
      <c r="G279" s="3">
        <v>25.5</v>
      </c>
      <c r="H279" s="3">
        <v>103</v>
      </c>
      <c r="I279" s="3">
        <v>71</v>
      </c>
      <c r="J279" s="3">
        <v>189</v>
      </c>
      <c r="K279" s="3">
        <v>154</v>
      </c>
      <c r="L279" s="3" t="s">
        <v>26</v>
      </c>
      <c r="M279" s="3" t="s">
        <v>67</v>
      </c>
      <c r="N279" s="3">
        <v>8</v>
      </c>
      <c r="O279" s="3" t="s">
        <v>76</v>
      </c>
      <c r="P279" s="3" t="s">
        <v>804</v>
      </c>
      <c r="Q279" s="3">
        <v>15</v>
      </c>
      <c r="R279" s="3">
        <v>4</v>
      </c>
      <c r="S279" s="3"/>
      <c r="T279" s="3" t="s">
        <v>54</v>
      </c>
    </row>
    <row r="280" spans="1:20" x14ac:dyDescent="0.35">
      <c r="A280" s="2" t="s">
        <v>805</v>
      </c>
      <c r="B280" s="2" t="s">
        <v>301</v>
      </c>
      <c r="C280" s="2">
        <v>51</v>
      </c>
      <c r="D280" s="2" t="s">
        <v>64</v>
      </c>
      <c r="E280" s="2" t="s">
        <v>161</v>
      </c>
      <c r="F280" s="2" t="s">
        <v>75</v>
      </c>
      <c r="G280" s="2">
        <v>24.5</v>
      </c>
      <c r="H280" s="2">
        <v>140</v>
      </c>
      <c r="I280" s="2">
        <v>95</v>
      </c>
      <c r="J280" s="2">
        <v>277</v>
      </c>
      <c r="K280" s="2">
        <v>74</v>
      </c>
      <c r="L280" s="2" t="s">
        <v>86</v>
      </c>
      <c r="M280" s="2" t="s">
        <v>54</v>
      </c>
      <c r="N280" s="2">
        <v>6</v>
      </c>
      <c r="O280" s="2" t="s">
        <v>36</v>
      </c>
      <c r="P280" s="2" t="s">
        <v>662</v>
      </c>
      <c r="Q280" s="2">
        <v>0</v>
      </c>
      <c r="R280" s="2">
        <v>10</v>
      </c>
      <c r="S280" s="2" t="s">
        <v>28</v>
      </c>
      <c r="T280" s="2" t="s">
        <v>100</v>
      </c>
    </row>
    <row r="281" spans="1:20" x14ac:dyDescent="0.35">
      <c r="A281" s="3" t="s">
        <v>806</v>
      </c>
      <c r="B281" s="3" t="s">
        <v>807</v>
      </c>
      <c r="C281" s="3">
        <v>60</v>
      </c>
      <c r="D281" s="3" t="s">
        <v>64</v>
      </c>
      <c r="E281" s="3" t="s">
        <v>33</v>
      </c>
      <c r="F281" s="3" t="s">
        <v>66</v>
      </c>
      <c r="G281" s="3">
        <v>19.899999999999999</v>
      </c>
      <c r="H281" s="3"/>
      <c r="I281" s="3">
        <v>105</v>
      </c>
      <c r="J281" s="3">
        <v>220</v>
      </c>
      <c r="K281" s="3">
        <v>78</v>
      </c>
      <c r="L281" s="3" t="s">
        <v>29</v>
      </c>
      <c r="M281" s="3">
        <v>6</v>
      </c>
      <c r="N281" s="3">
        <v>2</v>
      </c>
      <c r="O281" s="3" t="s">
        <v>76</v>
      </c>
      <c r="P281" s="3" t="s">
        <v>808</v>
      </c>
      <c r="Q281" s="3">
        <v>9</v>
      </c>
      <c r="R281" s="3">
        <v>6</v>
      </c>
      <c r="S281" s="3" t="s">
        <v>38</v>
      </c>
      <c r="T281" s="3" t="s">
        <v>26</v>
      </c>
    </row>
    <row r="282" spans="1:20" x14ac:dyDescent="0.35">
      <c r="A282" s="2" t="s">
        <v>809</v>
      </c>
      <c r="B282" s="2" t="s">
        <v>237</v>
      </c>
      <c r="C282" s="2">
        <v>45</v>
      </c>
      <c r="D282" s="2" t="s">
        <v>32</v>
      </c>
      <c r="E282" s="2" t="s">
        <v>23</v>
      </c>
      <c r="F282" s="2" t="s">
        <v>82</v>
      </c>
      <c r="G282" s="2">
        <v>28.1</v>
      </c>
      <c r="H282" s="2">
        <v>103</v>
      </c>
      <c r="I282" s="2">
        <v>90</v>
      </c>
      <c r="J282" s="2">
        <v>268</v>
      </c>
      <c r="K282" s="2">
        <v>109</v>
      </c>
      <c r="L282" s="2" t="s">
        <v>86</v>
      </c>
      <c r="M282" s="2">
        <v>5</v>
      </c>
      <c r="N282" s="2">
        <v>8</v>
      </c>
      <c r="O282" s="2" t="s">
        <v>68</v>
      </c>
      <c r="P282" s="2" t="s">
        <v>810</v>
      </c>
      <c r="Q282" s="2">
        <v>3</v>
      </c>
      <c r="R282" s="2">
        <v>16</v>
      </c>
      <c r="S282" s="2"/>
      <c r="T282" s="2" t="s">
        <v>61</v>
      </c>
    </row>
    <row r="283" spans="1:20" x14ac:dyDescent="0.35">
      <c r="A283" s="3" t="s">
        <v>811</v>
      </c>
      <c r="B283" s="3" t="s">
        <v>812</v>
      </c>
      <c r="C283" s="3">
        <v>51</v>
      </c>
      <c r="D283" s="3" t="s">
        <v>64</v>
      </c>
      <c r="E283" s="3" t="s">
        <v>51</v>
      </c>
      <c r="F283" s="3" t="s">
        <v>82</v>
      </c>
      <c r="G283" s="3">
        <v>17.100000000000001</v>
      </c>
      <c r="H283" s="3">
        <v>105</v>
      </c>
      <c r="I283" s="3">
        <v>103</v>
      </c>
      <c r="J283" s="3">
        <v>162</v>
      </c>
      <c r="K283" s="3">
        <v>155</v>
      </c>
      <c r="L283" s="3" t="s">
        <v>44</v>
      </c>
      <c r="M283" s="3">
        <v>0</v>
      </c>
      <c r="N283" s="3">
        <v>2</v>
      </c>
      <c r="O283" s="3" t="s">
        <v>68</v>
      </c>
      <c r="P283" s="3" t="s">
        <v>813</v>
      </c>
      <c r="Q283" s="3">
        <v>9</v>
      </c>
      <c r="R283" s="3">
        <v>20</v>
      </c>
      <c r="S283" s="3" t="s">
        <v>78</v>
      </c>
      <c r="T283" s="3" t="s">
        <v>47</v>
      </c>
    </row>
    <row r="284" spans="1:20" x14ac:dyDescent="0.35">
      <c r="A284" s="2" t="s">
        <v>814</v>
      </c>
      <c r="B284" s="2" t="s">
        <v>815</v>
      </c>
      <c r="C284" s="2">
        <v>40</v>
      </c>
      <c r="D284" s="2" t="s">
        <v>41</v>
      </c>
      <c r="E284" s="2" t="s">
        <v>51</v>
      </c>
      <c r="F284" s="2" t="s">
        <v>43</v>
      </c>
      <c r="G284" s="2">
        <v>36.299999999999997</v>
      </c>
      <c r="H284" s="2">
        <v>115</v>
      </c>
      <c r="I284" s="2">
        <v>77</v>
      </c>
      <c r="J284" s="2">
        <v>178</v>
      </c>
      <c r="K284" s="2">
        <v>110</v>
      </c>
      <c r="L284" s="2" t="s">
        <v>29</v>
      </c>
      <c r="M284" s="2">
        <v>1</v>
      </c>
      <c r="N284" s="2">
        <v>1</v>
      </c>
      <c r="O284" s="2" t="s">
        <v>35</v>
      </c>
      <c r="P284" s="2" t="s">
        <v>816</v>
      </c>
      <c r="Q284" s="2">
        <v>17</v>
      </c>
      <c r="R284" s="2">
        <v>10</v>
      </c>
      <c r="S284" s="2" t="s">
        <v>166</v>
      </c>
      <c r="T284" s="2" t="s">
        <v>61</v>
      </c>
    </row>
    <row r="285" spans="1:20" x14ac:dyDescent="0.35">
      <c r="A285" s="3" t="s">
        <v>817</v>
      </c>
      <c r="B285" s="3" t="s">
        <v>818</v>
      </c>
      <c r="C285" s="3">
        <v>37</v>
      </c>
      <c r="D285" s="3" t="s">
        <v>50</v>
      </c>
      <c r="E285" s="3" t="s">
        <v>131</v>
      </c>
      <c r="F285" s="3" t="s">
        <v>57</v>
      </c>
      <c r="G285" s="3">
        <v>32.299999999999997</v>
      </c>
      <c r="H285" s="3">
        <v>143</v>
      </c>
      <c r="I285" s="3">
        <v>94</v>
      </c>
      <c r="J285" s="3">
        <v>253</v>
      </c>
      <c r="K285" s="3">
        <v>82</v>
      </c>
      <c r="L285" s="3" t="s">
        <v>107</v>
      </c>
      <c r="M285" s="3">
        <v>0</v>
      </c>
      <c r="N285" s="3">
        <v>8</v>
      </c>
      <c r="O285" s="3" t="s">
        <v>25</v>
      </c>
      <c r="P285" s="3" t="s">
        <v>819</v>
      </c>
      <c r="Q285" s="3">
        <v>2</v>
      </c>
      <c r="R285" s="3">
        <v>13</v>
      </c>
      <c r="S285" s="3" t="s">
        <v>28</v>
      </c>
      <c r="T285" s="3" t="s">
        <v>61</v>
      </c>
    </row>
    <row r="286" spans="1:20" x14ac:dyDescent="0.35">
      <c r="A286" s="2" t="s">
        <v>820</v>
      </c>
      <c r="B286" s="2" t="s">
        <v>821</v>
      </c>
      <c r="C286" s="2">
        <v>62</v>
      </c>
      <c r="D286" s="2" t="s">
        <v>54</v>
      </c>
      <c r="E286" s="2" t="s">
        <v>42</v>
      </c>
      <c r="F286" s="2" t="s">
        <v>43</v>
      </c>
      <c r="G286" s="2">
        <v>24.8</v>
      </c>
      <c r="H286" s="2">
        <v>125</v>
      </c>
      <c r="I286" s="2">
        <v>105</v>
      </c>
      <c r="J286" s="2">
        <v>276</v>
      </c>
      <c r="K286" s="2">
        <v>90</v>
      </c>
      <c r="L286" s="2" t="s">
        <v>44</v>
      </c>
      <c r="M286" s="2" t="s">
        <v>54</v>
      </c>
      <c r="N286" s="2">
        <v>3</v>
      </c>
      <c r="O286" s="2" t="s">
        <v>35</v>
      </c>
      <c r="P286" s="2" t="s">
        <v>822</v>
      </c>
      <c r="Q286" s="2">
        <v>9</v>
      </c>
      <c r="R286" s="2">
        <v>20</v>
      </c>
      <c r="S286" s="2" t="s">
        <v>70</v>
      </c>
      <c r="T286" s="2" t="s">
        <v>54</v>
      </c>
    </row>
    <row r="287" spans="1:20" x14ac:dyDescent="0.35">
      <c r="A287" s="3" t="s">
        <v>823</v>
      </c>
      <c r="B287" s="3" t="s">
        <v>824</v>
      </c>
      <c r="C287" s="3">
        <v>31</v>
      </c>
      <c r="D287" s="3" t="s">
        <v>41</v>
      </c>
      <c r="E287" s="3" t="s">
        <v>127</v>
      </c>
      <c r="F287" s="3" t="s">
        <v>34</v>
      </c>
      <c r="G287" s="3">
        <v>21.6</v>
      </c>
      <c r="H287" s="3">
        <v>142</v>
      </c>
      <c r="I287" s="3">
        <v>80</v>
      </c>
      <c r="J287" s="3">
        <v>256</v>
      </c>
      <c r="K287" s="3">
        <v>194</v>
      </c>
      <c r="L287" s="3" t="s">
        <v>25</v>
      </c>
      <c r="M287" s="3">
        <v>1</v>
      </c>
      <c r="N287" s="3">
        <v>8</v>
      </c>
      <c r="O287" s="3" t="s">
        <v>35</v>
      </c>
      <c r="P287" s="3" t="s">
        <v>825</v>
      </c>
      <c r="Q287" s="3">
        <v>5</v>
      </c>
      <c r="R287" s="3">
        <v>9</v>
      </c>
      <c r="S287" s="3" t="s">
        <v>46</v>
      </c>
      <c r="T287" s="3" t="s">
        <v>61</v>
      </c>
    </row>
    <row r="288" spans="1:20" x14ac:dyDescent="0.35">
      <c r="A288" s="2" t="s">
        <v>826</v>
      </c>
      <c r="B288" s="2" t="s">
        <v>827</v>
      </c>
      <c r="C288" s="2">
        <v>47</v>
      </c>
      <c r="D288" s="2" t="s">
        <v>73</v>
      </c>
      <c r="E288" s="2" t="s">
        <v>127</v>
      </c>
      <c r="F288" s="2" t="s">
        <v>75</v>
      </c>
      <c r="G288" s="2">
        <v>33.200000000000003</v>
      </c>
      <c r="H288" s="2">
        <v>138</v>
      </c>
      <c r="I288" s="2">
        <v>94</v>
      </c>
      <c r="J288" s="2">
        <v>258</v>
      </c>
      <c r="K288" s="2">
        <v>172</v>
      </c>
      <c r="L288" s="2"/>
      <c r="M288" s="2">
        <v>6</v>
      </c>
      <c r="N288" s="2">
        <v>4</v>
      </c>
      <c r="O288" s="2" t="s">
        <v>26</v>
      </c>
      <c r="P288" s="2" t="s">
        <v>728</v>
      </c>
      <c r="Q288" s="2">
        <v>2</v>
      </c>
      <c r="R288" s="2">
        <v>10</v>
      </c>
      <c r="S288" s="2" t="s">
        <v>78</v>
      </c>
      <c r="T288" s="2"/>
    </row>
    <row r="289" spans="1:20" x14ac:dyDescent="0.35">
      <c r="A289" s="3" t="s">
        <v>828</v>
      </c>
      <c r="B289" s="3" t="s">
        <v>571</v>
      </c>
      <c r="C289" s="3">
        <v>43</v>
      </c>
      <c r="D289" s="3" t="s">
        <v>22</v>
      </c>
      <c r="E289" s="3" t="s">
        <v>33</v>
      </c>
      <c r="F289" s="3" t="s">
        <v>82</v>
      </c>
      <c r="G289" s="3">
        <v>35.5</v>
      </c>
      <c r="H289" s="3">
        <v>162</v>
      </c>
      <c r="I289" s="3">
        <v>67</v>
      </c>
      <c r="J289" s="3">
        <v>258</v>
      </c>
      <c r="K289" s="3">
        <v>153</v>
      </c>
      <c r="L289" s="3" t="s">
        <v>76</v>
      </c>
      <c r="M289" s="3">
        <v>1</v>
      </c>
      <c r="N289" s="3">
        <v>8</v>
      </c>
      <c r="O289" s="3" t="s">
        <v>29</v>
      </c>
      <c r="P289" s="3" t="s">
        <v>829</v>
      </c>
      <c r="Q289" s="3">
        <v>19</v>
      </c>
      <c r="R289" s="3">
        <v>3</v>
      </c>
      <c r="S289" s="3"/>
      <c r="T289" s="3"/>
    </row>
    <row r="290" spans="1:20" x14ac:dyDescent="0.35">
      <c r="A290" s="2" t="s">
        <v>830</v>
      </c>
      <c r="B290" s="2" t="s">
        <v>714</v>
      </c>
      <c r="C290" s="2">
        <v>25</v>
      </c>
      <c r="D290" s="2" t="s">
        <v>73</v>
      </c>
      <c r="E290" s="2" t="s">
        <v>23</v>
      </c>
      <c r="F290" s="2" t="s">
        <v>24</v>
      </c>
      <c r="G290" s="2">
        <v>39.200000000000003</v>
      </c>
      <c r="H290" s="2">
        <v>100</v>
      </c>
      <c r="I290" s="2">
        <v>69</v>
      </c>
      <c r="J290" s="2">
        <v>178</v>
      </c>
      <c r="K290" s="2">
        <v>185</v>
      </c>
      <c r="L290" s="2" t="s">
        <v>76</v>
      </c>
      <c r="M290" s="2">
        <v>4</v>
      </c>
      <c r="N290" s="2">
        <v>7</v>
      </c>
      <c r="O290" s="2" t="s">
        <v>76</v>
      </c>
      <c r="P290" s="2" t="s">
        <v>831</v>
      </c>
      <c r="Q290" s="2">
        <v>10</v>
      </c>
      <c r="R290" s="2">
        <v>9</v>
      </c>
      <c r="S290" s="2" t="s">
        <v>54</v>
      </c>
      <c r="T290" s="2" t="s">
        <v>26</v>
      </c>
    </row>
    <row r="291" spans="1:20" x14ac:dyDescent="0.35">
      <c r="A291" s="3" t="s">
        <v>832</v>
      </c>
      <c r="B291" s="3" t="s">
        <v>160</v>
      </c>
      <c r="C291" s="3">
        <v>27</v>
      </c>
      <c r="D291" s="3" t="s">
        <v>32</v>
      </c>
      <c r="E291" s="3" t="s">
        <v>42</v>
      </c>
      <c r="F291" s="3" t="s">
        <v>75</v>
      </c>
      <c r="G291" s="3">
        <v>27.1</v>
      </c>
      <c r="H291" s="3">
        <v>116</v>
      </c>
      <c r="I291" s="3">
        <v>78</v>
      </c>
      <c r="J291" s="3">
        <v>155</v>
      </c>
      <c r="K291" s="3">
        <v>164</v>
      </c>
      <c r="L291" s="3" t="s">
        <v>76</v>
      </c>
      <c r="M291" s="3">
        <v>0</v>
      </c>
      <c r="N291" s="3">
        <v>1</v>
      </c>
      <c r="O291" s="3" t="s">
        <v>36</v>
      </c>
      <c r="P291" s="3" t="s">
        <v>235</v>
      </c>
      <c r="Q291" s="3">
        <v>0</v>
      </c>
      <c r="R291" s="3">
        <v>7</v>
      </c>
      <c r="S291" s="3" t="s">
        <v>28</v>
      </c>
      <c r="T291" s="3"/>
    </row>
    <row r="292" spans="1:20" x14ac:dyDescent="0.35">
      <c r="A292" s="2" t="s">
        <v>833</v>
      </c>
      <c r="B292" s="2" t="s">
        <v>409</v>
      </c>
      <c r="C292" s="2">
        <v>47</v>
      </c>
      <c r="D292" s="2" t="s">
        <v>64</v>
      </c>
      <c r="E292" s="2" t="s">
        <v>65</v>
      </c>
      <c r="F292" s="2" t="s">
        <v>75</v>
      </c>
      <c r="G292" s="2">
        <v>22.3</v>
      </c>
      <c r="H292" s="2">
        <v>122</v>
      </c>
      <c r="I292" s="2">
        <v>90</v>
      </c>
      <c r="J292" s="2">
        <v>175</v>
      </c>
      <c r="K292" s="2">
        <v>118</v>
      </c>
      <c r="L292" s="2" t="s">
        <v>76</v>
      </c>
      <c r="M292" s="2">
        <v>6</v>
      </c>
      <c r="N292" s="2">
        <v>6</v>
      </c>
      <c r="O292" s="2" t="s">
        <v>44</v>
      </c>
      <c r="P292" s="2" t="s">
        <v>834</v>
      </c>
      <c r="Q292" s="2">
        <v>4</v>
      </c>
      <c r="R292" s="2">
        <v>4</v>
      </c>
      <c r="S292" s="2" t="s">
        <v>99</v>
      </c>
      <c r="T292" s="2" t="s">
        <v>35</v>
      </c>
    </row>
    <row r="293" spans="1:20" x14ac:dyDescent="0.35">
      <c r="A293" s="3" t="s">
        <v>835</v>
      </c>
      <c r="B293" s="3" t="s">
        <v>836</v>
      </c>
      <c r="C293" s="3">
        <v>53</v>
      </c>
      <c r="D293" s="3" t="s">
        <v>64</v>
      </c>
      <c r="E293" s="3" t="s">
        <v>33</v>
      </c>
      <c r="F293" s="3" t="s">
        <v>82</v>
      </c>
      <c r="G293" s="3">
        <v>20.399999999999999</v>
      </c>
      <c r="H293" s="3">
        <v>153</v>
      </c>
      <c r="I293" s="3">
        <v>89</v>
      </c>
      <c r="J293" s="3">
        <v>248</v>
      </c>
      <c r="K293" s="3">
        <v>229</v>
      </c>
      <c r="L293" s="3" t="s">
        <v>107</v>
      </c>
      <c r="M293" s="3">
        <v>7</v>
      </c>
      <c r="N293" s="3">
        <v>9</v>
      </c>
      <c r="O293" s="3" t="s">
        <v>44</v>
      </c>
      <c r="P293" s="3" t="s">
        <v>837</v>
      </c>
      <c r="Q293" s="3">
        <v>7</v>
      </c>
      <c r="R293" s="3">
        <v>5</v>
      </c>
      <c r="S293" s="3" t="s">
        <v>28</v>
      </c>
      <c r="T293" s="3" t="s">
        <v>25</v>
      </c>
    </row>
    <row r="294" spans="1:20" x14ac:dyDescent="0.35">
      <c r="A294" s="2" t="s">
        <v>838</v>
      </c>
      <c r="B294" s="2" t="s">
        <v>839</v>
      </c>
      <c r="C294" s="2">
        <v>37</v>
      </c>
      <c r="D294" s="2" t="s">
        <v>41</v>
      </c>
      <c r="E294" s="2" t="s">
        <v>65</v>
      </c>
      <c r="F294" s="2" t="s">
        <v>75</v>
      </c>
      <c r="G294" s="2">
        <v>31.4</v>
      </c>
      <c r="H294" s="2">
        <v>104</v>
      </c>
      <c r="I294" s="2">
        <v>62</v>
      </c>
      <c r="J294" s="2">
        <v>263</v>
      </c>
      <c r="K294" s="2">
        <v>250</v>
      </c>
      <c r="L294" s="2" t="s">
        <v>26</v>
      </c>
      <c r="M294" s="2">
        <v>1</v>
      </c>
      <c r="N294" s="2">
        <v>10</v>
      </c>
      <c r="O294" s="2" t="s">
        <v>76</v>
      </c>
      <c r="P294" s="2" t="s">
        <v>840</v>
      </c>
      <c r="Q294" s="2">
        <v>16</v>
      </c>
      <c r="R294" s="2">
        <v>8</v>
      </c>
      <c r="S294" s="2" t="s">
        <v>70</v>
      </c>
      <c r="T294" s="2" t="s">
        <v>100</v>
      </c>
    </row>
    <row r="295" spans="1:20" x14ac:dyDescent="0.35">
      <c r="A295" s="3" t="s">
        <v>841</v>
      </c>
      <c r="B295" s="3" t="s">
        <v>787</v>
      </c>
      <c r="C295" s="3">
        <v>61</v>
      </c>
      <c r="D295" s="3" t="s">
        <v>73</v>
      </c>
      <c r="E295" s="3" t="s">
        <v>23</v>
      </c>
      <c r="F295" s="3" t="s">
        <v>90</v>
      </c>
      <c r="G295" s="3">
        <v>32.799999999999997</v>
      </c>
      <c r="H295" s="3">
        <v>109</v>
      </c>
      <c r="I295" s="3">
        <v>103</v>
      </c>
      <c r="J295" s="3">
        <v>278</v>
      </c>
      <c r="K295" s="3">
        <v>218</v>
      </c>
      <c r="L295" s="3" t="s">
        <v>29</v>
      </c>
      <c r="M295" s="3" t="s">
        <v>54</v>
      </c>
      <c r="N295" s="3">
        <v>1</v>
      </c>
      <c r="O295" s="3" t="s">
        <v>36</v>
      </c>
      <c r="P295" s="3" t="s">
        <v>320</v>
      </c>
      <c r="Q295" s="3">
        <v>16</v>
      </c>
      <c r="R295" s="3">
        <v>15</v>
      </c>
      <c r="S295" s="3" t="s">
        <v>54</v>
      </c>
      <c r="T295" s="3" t="s">
        <v>47</v>
      </c>
    </row>
    <row r="296" spans="1:20" x14ac:dyDescent="0.35">
      <c r="A296" s="2" t="s">
        <v>842</v>
      </c>
      <c r="B296" s="2" t="s">
        <v>160</v>
      </c>
      <c r="C296" s="2">
        <v>40</v>
      </c>
      <c r="D296" s="2" t="s">
        <v>41</v>
      </c>
      <c r="E296" s="2" t="s">
        <v>33</v>
      </c>
      <c r="F296" s="2" t="s">
        <v>117</v>
      </c>
      <c r="G296" s="2">
        <v>34.4</v>
      </c>
      <c r="H296" s="2">
        <v>138</v>
      </c>
      <c r="I296" s="2">
        <v>96</v>
      </c>
      <c r="J296" s="2">
        <v>206</v>
      </c>
      <c r="K296" s="2">
        <v>85</v>
      </c>
      <c r="L296" s="2" t="s">
        <v>44</v>
      </c>
      <c r="M296" s="2" t="s">
        <v>54</v>
      </c>
      <c r="N296" s="2">
        <v>3</v>
      </c>
      <c r="O296" s="2" t="s">
        <v>25</v>
      </c>
      <c r="P296" s="2" t="s">
        <v>843</v>
      </c>
      <c r="Q296" s="2">
        <v>0</v>
      </c>
      <c r="R296" s="2">
        <v>9</v>
      </c>
      <c r="S296" s="2" t="s">
        <v>70</v>
      </c>
      <c r="T296" s="2" t="s">
        <v>35</v>
      </c>
    </row>
    <row r="297" spans="1:20" x14ac:dyDescent="0.35">
      <c r="A297" s="3" t="s">
        <v>844</v>
      </c>
      <c r="B297" s="3" t="s">
        <v>845</v>
      </c>
      <c r="C297" s="3">
        <v>26</v>
      </c>
      <c r="D297" s="3" t="s">
        <v>41</v>
      </c>
      <c r="E297" s="3" t="s">
        <v>74</v>
      </c>
      <c r="F297" s="3" t="s">
        <v>24</v>
      </c>
      <c r="G297" s="3">
        <v>32.4</v>
      </c>
      <c r="H297" s="3">
        <v>135</v>
      </c>
      <c r="I297" s="3">
        <v>76</v>
      </c>
      <c r="J297" s="3">
        <v>143</v>
      </c>
      <c r="K297" s="3">
        <v>98</v>
      </c>
      <c r="L297" s="3"/>
      <c r="M297" s="3">
        <v>2</v>
      </c>
      <c r="N297" s="3">
        <v>10</v>
      </c>
      <c r="O297" s="3" t="s">
        <v>29</v>
      </c>
      <c r="P297" s="3" t="s">
        <v>846</v>
      </c>
      <c r="Q297" s="3">
        <v>5</v>
      </c>
      <c r="R297" s="3">
        <v>8</v>
      </c>
      <c r="S297" s="3" t="s">
        <v>78</v>
      </c>
      <c r="T297" s="3" t="s">
        <v>54</v>
      </c>
    </row>
    <row r="298" spans="1:20" x14ac:dyDescent="0.35">
      <c r="A298" s="2" t="s">
        <v>847</v>
      </c>
      <c r="B298" s="2" t="s">
        <v>848</v>
      </c>
      <c r="C298" s="2">
        <v>24</v>
      </c>
      <c r="D298" s="2" t="s">
        <v>106</v>
      </c>
      <c r="E298" s="2" t="s">
        <v>131</v>
      </c>
      <c r="F298" s="2" t="s">
        <v>24</v>
      </c>
      <c r="G298" s="2">
        <v>31.9</v>
      </c>
      <c r="H298" s="2">
        <v>119</v>
      </c>
      <c r="I298" s="2">
        <v>91</v>
      </c>
      <c r="J298" s="2">
        <v>245</v>
      </c>
      <c r="K298" s="2">
        <v>168</v>
      </c>
      <c r="L298" s="2" t="s">
        <v>86</v>
      </c>
      <c r="M298" s="2" t="s">
        <v>67</v>
      </c>
      <c r="N298" s="2">
        <v>8</v>
      </c>
      <c r="O298" s="2" t="s">
        <v>29</v>
      </c>
      <c r="P298" s="2" t="s">
        <v>849</v>
      </c>
      <c r="Q298" s="2">
        <v>11</v>
      </c>
      <c r="R298" s="2">
        <v>1</v>
      </c>
      <c r="S298" s="2"/>
      <c r="T298" s="2" t="s">
        <v>26</v>
      </c>
    </row>
    <row r="299" spans="1:20" x14ac:dyDescent="0.35">
      <c r="A299" s="3" t="s">
        <v>850</v>
      </c>
      <c r="B299" s="3" t="s">
        <v>754</v>
      </c>
      <c r="C299" s="3">
        <v>32</v>
      </c>
      <c r="D299" s="3" t="s">
        <v>54</v>
      </c>
      <c r="E299" s="3" t="s">
        <v>65</v>
      </c>
      <c r="F299" s="3" t="s">
        <v>90</v>
      </c>
      <c r="G299" s="3">
        <v>24.5</v>
      </c>
      <c r="H299" s="3">
        <v>168</v>
      </c>
      <c r="I299" s="3">
        <v>74</v>
      </c>
      <c r="J299" s="3">
        <v>237</v>
      </c>
      <c r="K299" s="3">
        <v>244</v>
      </c>
      <c r="L299" s="3" t="s">
        <v>58</v>
      </c>
      <c r="M299" s="3">
        <v>7</v>
      </c>
      <c r="N299" s="3">
        <v>5</v>
      </c>
      <c r="O299" s="3" t="s">
        <v>29</v>
      </c>
      <c r="P299" s="3" t="s">
        <v>757</v>
      </c>
      <c r="Q299" s="3">
        <v>14</v>
      </c>
      <c r="R299" s="3">
        <v>12</v>
      </c>
      <c r="S299" s="3"/>
      <c r="T299" s="3" t="s">
        <v>47</v>
      </c>
    </row>
    <row r="300" spans="1:20" x14ac:dyDescent="0.35">
      <c r="A300" s="2" t="s">
        <v>851</v>
      </c>
      <c r="B300" s="2" t="s">
        <v>852</v>
      </c>
      <c r="C300" s="2">
        <v>28</v>
      </c>
      <c r="D300" s="2" t="s">
        <v>106</v>
      </c>
      <c r="E300" s="2" t="s">
        <v>65</v>
      </c>
      <c r="F300" s="2" t="s">
        <v>66</v>
      </c>
      <c r="G300" s="2">
        <v>40</v>
      </c>
      <c r="H300" s="2">
        <v>134</v>
      </c>
      <c r="I300" s="2">
        <v>81</v>
      </c>
      <c r="J300" s="2">
        <v>209</v>
      </c>
      <c r="K300" s="2">
        <v>138</v>
      </c>
      <c r="L300" s="2" t="s">
        <v>35</v>
      </c>
      <c r="M300" s="2">
        <v>4</v>
      </c>
      <c r="N300" s="2">
        <v>10</v>
      </c>
      <c r="O300" s="2" t="s">
        <v>44</v>
      </c>
      <c r="P300" s="2" t="s">
        <v>853</v>
      </c>
      <c r="Q300" s="2">
        <v>7</v>
      </c>
      <c r="R300" s="2">
        <v>18</v>
      </c>
      <c r="S300" s="2" t="s">
        <v>78</v>
      </c>
      <c r="T300" s="2" t="s">
        <v>100</v>
      </c>
    </row>
    <row r="301" spans="1:20" x14ac:dyDescent="0.35">
      <c r="A301" s="3" t="s">
        <v>854</v>
      </c>
      <c r="B301" s="3" t="s">
        <v>748</v>
      </c>
      <c r="C301" s="3">
        <v>42</v>
      </c>
      <c r="D301" s="3" t="s">
        <v>32</v>
      </c>
      <c r="E301" s="3" t="s">
        <v>161</v>
      </c>
      <c r="F301" s="3" t="s">
        <v>82</v>
      </c>
      <c r="G301" s="3">
        <v>17.3</v>
      </c>
      <c r="H301" s="3">
        <v>112</v>
      </c>
      <c r="I301" s="3">
        <v>93</v>
      </c>
      <c r="J301" s="3">
        <v>166</v>
      </c>
      <c r="K301" s="3">
        <v>245</v>
      </c>
      <c r="L301" s="3" t="s">
        <v>44</v>
      </c>
      <c r="M301" s="3">
        <v>5</v>
      </c>
      <c r="N301" s="3">
        <v>4</v>
      </c>
      <c r="O301" s="3" t="s">
        <v>68</v>
      </c>
      <c r="P301" s="3" t="s">
        <v>158</v>
      </c>
      <c r="Q301" s="3"/>
      <c r="R301" s="3">
        <v>2</v>
      </c>
      <c r="S301" s="3" t="s">
        <v>54</v>
      </c>
      <c r="T301" s="3" t="s">
        <v>29</v>
      </c>
    </row>
  </sheetData>
  <autoFilter ref="A1:T301" xr:uid="{00000000-0001-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06F12-1846-46C1-8D93-7D53116D02E4}">
  <dimension ref="A1:AD301"/>
  <sheetViews>
    <sheetView workbookViewId="0">
      <selection activeCell="A4" sqref="A4"/>
    </sheetView>
  </sheetViews>
  <sheetFormatPr defaultRowHeight="14.5" x14ac:dyDescent="0.35"/>
  <cols>
    <col min="1" max="1" width="14.08984375" bestFit="1" customWidth="1"/>
    <col min="2" max="2" width="16.1796875" bestFit="1" customWidth="1"/>
    <col min="3" max="3" width="6.1796875" bestFit="1" customWidth="1"/>
    <col min="4" max="4" width="9.26953125" bestFit="1" customWidth="1"/>
    <col min="5" max="5" width="13.36328125" bestFit="1" customWidth="1"/>
    <col min="6" max="6" width="7.453125" bestFit="1" customWidth="1"/>
    <col min="7" max="7" width="6.453125" bestFit="1" customWidth="1"/>
    <col min="8" max="8" width="23.6328125" bestFit="1" customWidth="1"/>
    <col min="9" max="9" width="24.54296875" bestFit="1" customWidth="1"/>
    <col min="10" max="10" width="17.90625" bestFit="1" customWidth="1"/>
    <col min="11" max="11" width="15.54296875" bestFit="1" customWidth="1"/>
    <col min="12" max="12" width="16.54296875" bestFit="1" customWidth="1"/>
    <col min="13" max="13" width="32" bestFit="1" customWidth="1"/>
    <col min="14" max="14" width="21.36328125" bestFit="1" customWidth="1"/>
    <col min="15" max="15" width="17.90625" bestFit="1" customWidth="1"/>
    <col min="16" max="16" width="19.6328125" style="5" bestFit="1" customWidth="1"/>
    <col min="17" max="18" width="16.36328125" bestFit="1" customWidth="1"/>
    <col min="19" max="19" width="18.7265625" bestFit="1" customWidth="1"/>
    <col min="20" max="20" width="19.26953125" customWidth="1"/>
    <col min="21" max="21" width="18.7265625" bestFit="1" customWidth="1"/>
    <col min="22" max="22" width="19.26953125" bestFit="1" customWidth="1"/>
  </cols>
  <sheetData>
    <row r="1" spans="1:30" x14ac:dyDescent="0.35">
      <c r="A1" s="4" t="s">
        <v>0</v>
      </c>
      <c r="B1" s="4" t="s">
        <v>1</v>
      </c>
      <c r="C1" s="4" t="s">
        <v>2</v>
      </c>
      <c r="D1" s="4" t="s">
        <v>3</v>
      </c>
      <c r="E1" t="s">
        <v>4</v>
      </c>
      <c r="F1" s="4" t="s">
        <v>5</v>
      </c>
      <c r="G1" s="4" t="s">
        <v>6</v>
      </c>
      <c r="H1" s="4" t="s">
        <v>7</v>
      </c>
      <c r="I1" s="4" t="s">
        <v>8</v>
      </c>
      <c r="J1" s="4" t="s">
        <v>9</v>
      </c>
      <c r="K1" s="4" t="s">
        <v>10</v>
      </c>
      <c r="L1" s="4" t="s">
        <v>11</v>
      </c>
      <c r="M1" s="4" t="s">
        <v>12</v>
      </c>
      <c r="N1" s="4" t="s">
        <v>13</v>
      </c>
      <c r="O1" s="4" t="s">
        <v>14</v>
      </c>
      <c r="P1" s="5" t="s">
        <v>865</v>
      </c>
      <c r="Q1" s="4" t="s">
        <v>16</v>
      </c>
      <c r="R1" s="4" t="s">
        <v>17</v>
      </c>
      <c r="S1" s="4" t="s">
        <v>18</v>
      </c>
      <c r="T1" s="4" t="s">
        <v>19</v>
      </c>
      <c r="U1" t="s">
        <v>867</v>
      </c>
      <c r="V1" t="s">
        <v>876</v>
      </c>
      <c r="W1" t="s">
        <v>884</v>
      </c>
      <c r="X1" t="s">
        <v>916</v>
      </c>
      <c r="Y1" t="s">
        <v>915</v>
      </c>
      <c r="Z1" t="s">
        <v>918</v>
      </c>
      <c r="AA1" t="s">
        <v>917</v>
      </c>
      <c r="AB1" t="s">
        <v>919</v>
      </c>
      <c r="AC1" t="s">
        <v>920</v>
      </c>
      <c r="AD1" t="s">
        <v>923</v>
      </c>
    </row>
    <row r="2" spans="1:30" x14ac:dyDescent="0.35">
      <c r="A2" s="4" t="s">
        <v>20</v>
      </c>
      <c r="B2" s="4" t="s">
        <v>21</v>
      </c>
      <c r="C2" s="4">
        <v>39</v>
      </c>
      <c r="D2" s="4" t="s">
        <v>73</v>
      </c>
      <c r="E2" s="4" t="s">
        <v>23</v>
      </c>
      <c r="F2" s="4" t="s">
        <v>24</v>
      </c>
      <c r="G2" s="4">
        <v>35.4</v>
      </c>
      <c r="H2" s="4">
        <v>169</v>
      </c>
      <c r="I2" s="4">
        <v>65</v>
      </c>
      <c r="J2" s="4">
        <v>248</v>
      </c>
      <c r="K2" s="4">
        <v>78</v>
      </c>
      <c r="L2" s="4" t="s">
        <v>859</v>
      </c>
      <c r="M2" s="4">
        <v>1</v>
      </c>
      <c r="N2" s="4">
        <v>4</v>
      </c>
      <c r="O2" s="4" t="s">
        <v>35</v>
      </c>
      <c r="P2" s="5">
        <v>44446</v>
      </c>
      <c r="Q2" s="4">
        <v>20</v>
      </c>
      <c r="R2" s="4">
        <v>17</v>
      </c>
      <c r="S2" s="4" t="s">
        <v>99</v>
      </c>
      <c r="T2" s="4" t="s">
        <v>862</v>
      </c>
      <c r="U2" t="str">
        <f>IF(G2&lt;18.5,"Underweight",IF(G2&lt;=24.9,"Normal",IF(G2&lt;=29.9,"Overweight","Obese")))</f>
        <v>Obese</v>
      </c>
      <c r="V2" s="4" t="str">
        <f t="shared" ref="V2:V65" si="0">IF(C2&lt;=30,"Young adult",IF(C2&lt;=40,"Adult",IF(C2&lt;=50,"Elder","Aged")))</f>
        <v>Adult</v>
      </c>
      <c r="W2" s="4" t="str">
        <f t="shared" ref="W2:W65" si="1">IF(OR(H2&lt;90,I2&lt;60), "Low BP",IF(AND(H2&lt;120,I2&lt;80),"Normal",IF(AND(H2&gt;=120,H2&lt;130,I2&lt;80),"Elevated","High Bp")))</f>
        <v>High Bp</v>
      </c>
      <c r="X2" s="4">
        <f t="shared" ref="X2:X65" si="2">IF(W2="HIGH bp",1,0)</f>
        <v>1</v>
      </c>
      <c r="Y2" s="4">
        <f t="shared" ref="Y2:Y65" si="3">IF(U2="obese",1,0)</f>
        <v>1</v>
      </c>
      <c r="Z2" s="4">
        <f t="shared" ref="Z2:Z65" si="4">IF(L2="current smoker",1,0)</f>
        <v>1</v>
      </c>
      <c r="AA2" s="4">
        <f t="shared" ref="AA2:AA65" si="5">IF(S2="none",0,1)</f>
        <v>1</v>
      </c>
      <c r="AB2" s="4">
        <f t="shared" ref="AB2:AB65" si="6">IF(J2&gt;200,1,0)</f>
        <v>1</v>
      </c>
      <c r="AC2" s="4">
        <f>SUM(Table1_2[[#This Row],[bp score]],Table1_2[[#This Row],[bmi score]],Table1_2[[#This Row],[Csmoking score]],Table1_2[[#This Row],[Condition score]],Table1_2[[#This Row],[Cholesterol score]],)</f>
        <v>5</v>
      </c>
      <c r="AD2" s="4" t="str">
        <f t="shared" ref="AD2:AD65" si="7">IF(AC2&gt;=4,"High risk", IF(AC2&gt;=2, "Medium risk", "Low risk"))</f>
        <v>High risk</v>
      </c>
    </row>
    <row r="3" spans="1:30" x14ac:dyDescent="0.35">
      <c r="A3" s="4" t="s">
        <v>30</v>
      </c>
      <c r="B3" s="4" t="s">
        <v>31</v>
      </c>
      <c r="C3" s="4">
        <v>39</v>
      </c>
      <c r="D3" s="4" t="s">
        <v>32</v>
      </c>
      <c r="E3" s="4" t="s">
        <v>33</v>
      </c>
      <c r="F3" s="4" t="s">
        <v>82</v>
      </c>
      <c r="G3" s="4">
        <v>25.5</v>
      </c>
      <c r="H3" s="4">
        <v>119</v>
      </c>
      <c r="I3" s="4">
        <v>73</v>
      </c>
      <c r="J3" s="4">
        <v>226</v>
      </c>
      <c r="K3" s="4">
        <v>96</v>
      </c>
      <c r="L3" s="4" t="s">
        <v>860</v>
      </c>
      <c r="M3" s="4">
        <v>6</v>
      </c>
      <c r="N3" s="4">
        <v>2</v>
      </c>
      <c r="O3" s="4" t="s">
        <v>35</v>
      </c>
      <c r="P3" s="5">
        <v>45208</v>
      </c>
      <c r="Q3" s="4">
        <v>1</v>
      </c>
      <c r="R3" s="4">
        <v>14</v>
      </c>
      <c r="S3" s="4" t="s">
        <v>38</v>
      </c>
      <c r="T3" s="4" t="s">
        <v>863</v>
      </c>
      <c r="U3" t="str">
        <f>IF(G3&lt;18.5,"Underweight",IF(G3&lt;=24.9,"Normal",IF(G3&lt;=29.9,"Overweight","Obese")))</f>
        <v>Overweight</v>
      </c>
      <c r="V3" s="4" t="str">
        <f>IF(C3&lt;=30,"Young adult",IF(C3&lt;=40,"Adult",IF(C3&lt;=50,"Elder","Aged")))</f>
        <v>Adult</v>
      </c>
      <c r="W3" s="4" t="str">
        <f t="shared" si="1"/>
        <v>Normal</v>
      </c>
      <c r="X3" s="4">
        <f t="shared" si="2"/>
        <v>0</v>
      </c>
      <c r="Y3" s="4">
        <f t="shared" si="3"/>
        <v>0</v>
      </c>
      <c r="Z3" s="4">
        <f t="shared" si="4"/>
        <v>0</v>
      </c>
      <c r="AA3" s="4">
        <f t="shared" si="5"/>
        <v>1</v>
      </c>
      <c r="AB3" s="4">
        <f t="shared" si="6"/>
        <v>1</v>
      </c>
      <c r="AC3" s="4">
        <f>SUM(Table1_2[[#This Row],[bp score]],Table1_2[[#This Row],[bmi score]],Table1_2[[#This Row],[Csmoking score]],Table1_2[[#This Row],[Condition score]],Table1_2[[#This Row],[Cholesterol score]],)</f>
        <v>2</v>
      </c>
      <c r="AD3" s="4" t="str">
        <f t="shared" si="7"/>
        <v>Medium risk</v>
      </c>
    </row>
    <row r="4" spans="1:30" x14ac:dyDescent="0.35">
      <c r="A4" s="4" t="s">
        <v>39</v>
      </c>
      <c r="B4" s="4" t="s">
        <v>40</v>
      </c>
      <c r="C4" s="4">
        <v>57</v>
      </c>
      <c r="D4" s="4" t="s">
        <v>32</v>
      </c>
      <c r="E4" s="4" t="s">
        <v>33</v>
      </c>
      <c r="F4" s="4" t="s">
        <v>117</v>
      </c>
      <c r="G4" s="4">
        <v>31.4</v>
      </c>
      <c r="H4" s="4">
        <v>108</v>
      </c>
      <c r="I4" s="4">
        <v>62</v>
      </c>
      <c r="J4" s="4">
        <v>198</v>
      </c>
      <c r="K4" s="4">
        <v>144</v>
      </c>
      <c r="L4" s="4" t="s">
        <v>860</v>
      </c>
      <c r="M4" s="4">
        <v>3</v>
      </c>
      <c r="N4" s="4">
        <v>2</v>
      </c>
      <c r="O4" s="4" t="s">
        <v>25</v>
      </c>
      <c r="P4" s="5">
        <v>45159</v>
      </c>
      <c r="Q4" s="4">
        <v>11</v>
      </c>
      <c r="R4" s="4">
        <v>5</v>
      </c>
      <c r="S4" s="4" t="s">
        <v>78</v>
      </c>
      <c r="T4" s="4" t="s">
        <v>864</v>
      </c>
      <c r="U4" t="str">
        <f t="shared" ref="U4:U65" si="8">IF(G4&lt;18.5,"Underweight",IF(G4&lt;=24.9,"Normal",IF(G4&lt;=29.9,"Overweight","Obese")))</f>
        <v>Obese</v>
      </c>
      <c r="V4" s="4" t="str">
        <f t="shared" si="0"/>
        <v>Aged</v>
      </c>
      <c r="W4" s="4" t="str">
        <f t="shared" si="1"/>
        <v>Normal</v>
      </c>
      <c r="X4" s="4">
        <f t="shared" si="2"/>
        <v>0</v>
      </c>
      <c r="Y4" s="4">
        <f t="shared" si="3"/>
        <v>1</v>
      </c>
      <c r="Z4" s="4">
        <f t="shared" si="4"/>
        <v>0</v>
      </c>
      <c r="AA4" s="4">
        <f t="shared" si="5"/>
        <v>0</v>
      </c>
      <c r="AB4" s="4">
        <f t="shared" si="6"/>
        <v>0</v>
      </c>
      <c r="AC4" s="4">
        <f>SUM(Table1_2[[#This Row],[bp score]],Table1_2[[#This Row],[bmi score]],Table1_2[[#This Row],[Csmoking score]],Table1_2[[#This Row],[Condition score]],Table1_2[[#This Row],[Cholesterol score]],)</f>
        <v>1</v>
      </c>
      <c r="AD4" s="4" t="str">
        <f t="shared" si="7"/>
        <v>Low risk</v>
      </c>
    </row>
    <row r="5" spans="1:30" x14ac:dyDescent="0.35">
      <c r="A5" s="4" t="s">
        <v>48</v>
      </c>
      <c r="B5" s="4" t="s">
        <v>49</v>
      </c>
      <c r="C5" s="4">
        <v>26</v>
      </c>
      <c r="D5" s="4" t="s">
        <v>32</v>
      </c>
      <c r="E5" s="4" t="s">
        <v>131</v>
      </c>
      <c r="F5" s="4" t="s">
        <v>52</v>
      </c>
      <c r="G5" s="4">
        <v>21.1</v>
      </c>
      <c r="H5" s="4">
        <v>148</v>
      </c>
      <c r="I5" s="4">
        <v>77</v>
      </c>
      <c r="J5" s="4">
        <v>196</v>
      </c>
      <c r="K5" s="4">
        <v>245</v>
      </c>
      <c r="L5" s="4" t="s">
        <v>860</v>
      </c>
      <c r="M5" s="4">
        <v>0</v>
      </c>
      <c r="N5" s="4">
        <v>4</v>
      </c>
      <c r="O5" s="4" t="s">
        <v>25</v>
      </c>
      <c r="P5" s="5">
        <v>45116</v>
      </c>
      <c r="Q5" s="4">
        <v>2</v>
      </c>
      <c r="R5" s="4">
        <v>6</v>
      </c>
      <c r="S5" s="4" t="s">
        <v>46</v>
      </c>
      <c r="T5" s="4" t="s">
        <v>864</v>
      </c>
      <c r="U5" t="str">
        <f t="shared" si="8"/>
        <v>Normal</v>
      </c>
      <c r="V5" s="4" t="str">
        <f t="shared" si="0"/>
        <v>Young adult</v>
      </c>
      <c r="W5" s="4" t="str">
        <f t="shared" si="1"/>
        <v>High Bp</v>
      </c>
      <c r="X5" s="4">
        <f t="shared" si="2"/>
        <v>1</v>
      </c>
      <c r="Y5" s="4">
        <f t="shared" si="3"/>
        <v>0</v>
      </c>
      <c r="Z5" s="4">
        <f t="shared" si="4"/>
        <v>0</v>
      </c>
      <c r="AA5" s="4">
        <f t="shared" si="5"/>
        <v>0</v>
      </c>
      <c r="AB5" s="4">
        <f t="shared" si="6"/>
        <v>0</v>
      </c>
      <c r="AC5" s="4">
        <f>SUM(Table1_2[[#This Row],[bp score]],Table1_2[[#This Row],[bmi score]],Table1_2[[#This Row],[Csmoking score]],Table1_2[[#This Row],[Condition score]],Table1_2[[#This Row],[Cholesterol score]],)</f>
        <v>1</v>
      </c>
      <c r="AD5" s="4" t="str">
        <f t="shared" si="7"/>
        <v>Low risk</v>
      </c>
    </row>
    <row r="6" spans="1:30" x14ac:dyDescent="0.35">
      <c r="A6" s="4" t="s">
        <v>55</v>
      </c>
      <c r="B6" s="4" t="s">
        <v>56</v>
      </c>
      <c r="C6" s="4">
        <v>47</v>
      </c>
      <c r="D6" s="4" t="s">
        <v>73</v>
      </c>
      <c r="E6" s="4" t="s">
        <v>33</v>
      </c>
      <c r="F6" s="4" t="s">
        <v>57</v>
      </c>
      <c r="G6" s="4">
        <v>20.5</v>
      </c>
      <c r="H6" s="4">
        <v>168</v>
      </c>
      <c r="I6" s="4">
        <v>76</v>
      </c>
      <c r="J6" s="4">
        <v>249</v>
      </c>
      <c r="K6" s="4">
        <v>219</v>
      </c>
      <c r="L6" s="4" t="s">
        <v>860</v>
      </c>
      <c r="M6" s="4">
        <v>5</v>
      </c>
      <c r="N6" s="4">
        <v>4</v>
      </c>
      <c r="O6" s="4" t="s">
        <v>25</v>
      </c>
      <c r="P6" s="5">
        <v>45347</v>
      </c>
      <c r="Q6" s="4">
        <v>1</v>
      </c>
      <c r="R6" s="4">
        <v>3</v>
      </c>
      <c r="S6" s="4" t="s">
        <v>60</v>
      </c>
      <c r="T6" s="4" t="s">
        <v>864</v>
      </c>
      <c r="U6" t="str">
        <f t="shared" si="8"/>
        <v>Normal</v>
      </c>
      <c r="V6" s="4" t="str">
        <f t="shared" si="0"/>
        <v>Elder</v>
      </c>
      <c r="W6" s="4" t="str">
        <f t="shared" si="1"/>
        <v>High Bp</v>
      </c>
      <c r="X6" s="4">
        <f t="shared" si="2"/>
        <v>1</v>
      </c>
      <c r="Y6" s="4">
        <f t="shared" si="3"/>
        <v>0</v>
      </c>
      <c r="Z6" s="4">
        <f t="shared" si="4"/>
        <v>0</v>
      </c>
      <c r="AA6" s="4">
        <f t="shared" si="5"/>
        <v>1</v>
      </c>
      <c r="AB6" s="4">
        <f t="shared" si="6"/>
        <v>1</v>
      </c>
      <c r="AC6" s="4">
        <f>SUM(Table1_2[[#This Row],[bp score]],Table1_2[[#This Row],[bmi score]],Table1_2[[#This Row],[Csmoking score]],Table1_2[[#This Row],[Condition score]],Table1_2[[#This Row],[Cholesterol score]],)</f>
        <v>3</v>
      </c>
      <c r="AD6" s="4" t="str">
        <f t="shared" si="7"/>
        <v>Medium risk</v>
      </c>
    </row>
    <row r="7" spans="1:30" x14ac:dyDescent="0.35">
      <c r="A7" s="4" t="s">
        <v>62</v>
      </c>
      <c r="B7" s="4" t="s">
        <v>63</v>
      </c>
      <c r="C7" s="4">
        <v>26</v>
      </c>
      <c r="D7" s="4" t="s">
        <v>32</v>
      </c>
      <c r="E7" s="4" t="s">
        <v>65</v>
      </c>
      <c r="F7" s="4" t="s">
        <v>66</v>
      </c>
      <c r="G7" s="4">
        <v>41.9</v>
      </c>
      <c r="H7" s="4">
        <v>167</v>
      </c>
      <c r="I7" s="4">
        <v>76</v>
      </c>
      <c r="J7" s="4">
        <v>142</v>
      </c>
      <c r="K7" s="4">
        <v>244</v>
      </c>
      <c r="L7" s="4" t="s">
        <v>860</v>
      </c>
      <c r="M7" s="4">
        <v>7</v>
      </c>
      <c r="N7" s="4">
        <v>9</v>
      </c>
      <c r="O7" s="4" t="s">
        <v>25</v>
      </c>
      <c r="P7" s="5">
        <v>44967</v>
      </c>
      <c r="Q7" s="4">
        <v>13</v>
      </c>
      <c r="R7" s="4">
        <v>5</v>
      </c>
      <c r="S7" s="4" t="s">
        <v>92</v>
      </c>
      <c r="T7" s="4" t="s">
        <v>862</v>
      </c>
      <c r="U7" t="str">
        <f t="shared" si="8"/>
        <v>Obese</v>
      </c>
      <c r="V7" s="4" t="str">
        <f t="shared" si="0"/>
        <v>Young adult</v>
      </c>
      <c r="W7" s="4" t="str">
        <f t="shared" si="1"/>
        <v>High Bp</v>
      </c>
      <c r="X7" s="4">
        <f t="shared" si="2"/>
        <v>1</v>
      </c>
      <c r="Y7" s="4">
        <f t="shared" si="3"/>
        <v>1</v>
      </c>
      <c r="Z7" s="4">
        <f t="shared" si="4"/>
        <v>0</v>
      </c>
      <c r="AA7" s="4">
        <f t="shared" si="5"/>
        <v>1</v>
      </c>
      <c r="AB7" s="4">
        <f t="shared" si="6"/>
        <v>0</v>
      </c>
      <c r="AC7" s="4">
        <f>SUM(Table1_2[[#This Row],[bp score]],Table1_2[[#This Row],[bmi score]],Table1_2[[#This Row],[Csmoking score]],Table1_2[[#This Row],[Condition score]],Table1_2[[#This Row],[Cholesterol score]],)</f>
        <v>3</v>
      </c>
      <c r="AD7" s="4" t="str">
        <f t="shared" si="7"/>
        <v>Medium risk</v>
      </c>
    </row>
    <row r="8" spans="1:30" x14ac:dyDescent="0.35">
      <c r="A8" s="4" t="s">
        <v>71</v>
      </c>
      <c r="B8" s="4" t="s">
        <v>72</v>
      </c>
      <c r="C8" s="4">
        <v>33</v>
      </c>
      <c r="D8" s="4" t="s">
        <v>73</v>
      </c>
      <c r="E8" s="4" t="s">
        <v>74</v>
      </c>
      <c r="F8" s="4" t="s">
        <v>75</v>
      </c>
      <c r="G8" s="4">
        <v>32.200000000000003</v>
      </c>
      <c r="H8" s="4">
        <v>119</v>
      </c>
      <c r="I8" s="4">
        <v>83</v>
      </c>
      <c r="J8" s="4">
        <v>181</v>
      </c>
      <c r="K8" s="4">
        <v>208</v>
      </c>
      <c r="L8" s="4" t="s">
        <v>860</v>
      </c>
      <c r="M8" s="4">
        <v>0</v>
      </c>
      <c r="N8" s="4">
        <v>10</v>
      </c>
      <c r="O8" s="4" t="s">
        <v>35</v>
      </c>
      <c r="P8" s="5">
        <v>45295</v>
      </c>
      <c r="Q8" s="4">
        <v>11</v>
      </c>
      <c r="R8" s="4">
        <v>9</v>
      </c>
      <c r="S8" s="4" t="s">
        <v>78</v>
      </c>
      <c r="T8" s="4" t="s">
        <v>862</v>
      </c>
      <c r="U8" t="str">
        <f t="shared" si="8"/>
        <v>Obese</v>
      </c>
      <c r="V8" s="4" t="str">
        <f t="shared" si="0"/>
        <v>Adult</v>
      </c>
      <c r="W8" s="4" t="str">
        <f t="shared" si="1"/>
        <v>High Bp</v>
      </c>
      <c r="X8" s="4">
        <f t="shared" si="2"/>
        <v>1</v>
      </c>
      <c r="Y8" s="4">
        <f t="shared" si="3"/>
        <v>1</v>
      </c>
      <c r="Z8" s="4">
        <f t="shared" si="4"/>
        <v>0</v>
      </c>
      <c r="AA8" s="4">
        <f t="shared" si="5"/>
        <v>0</v>
      </c>
      <c r="AB8" s="4">
        <f t="shared" si="6"/>
        <v>0</v>
      </c>
      <c r="AC8" s="4">
        <f>SUM(Table1_2[[#This Row],[bp score]],Table1_2[[#This Row],[bmi score]],Table1_2[[#This Row],[Csmoking score]],Table1_2[[#This Row],[Condition score]],Table1_2[[#This Row],[Cholesterol score]],)</f>
        <v>2</v>
      </c>
      <c r="AD8" s="4" t="str">
        <f t="shared" si="7"/>
        <v>Medium risk</v>
      </c>
    </row>
    <row r="9" spans="1:30" x14ac:dyDescent="0.35">
      <c r="A9" s="4" t="s">
        <v>79</v>
      </c>
      <c r="B9" s="4" t="s">
        <v>80</v>
      </c>
      <c r="C9" s="4">
        <v>27</v>
      </c>
      <c r="D9" s="4" t="s">
        <v>73</v>
      </c>
      <c r="E9" s="4" t="s">
        <v>161</v>
      </c>
      <c r="F9" s="4" t="s">
        <v>82</v>
      </c>
      <c r="G9" s="4">
        <v>41.4</v>
      </c>
      <c r="H9" s="4">
        <v>168</v>
      </c>
      <c r="I9" s="4">
        <v>68</v>
      </c>
      <c r="J9" s="4">
        <v>172</v>
      </c>
      <c r="K9" s="4">
        <v>238</v>
      </c>
      <c r="L9" s="4" t="s">
        <v>859</v>
      </c>
      <c r="M9" s="4">
        <v>0</v>
      </c>
      <c r="N9" s="4">
        <v>3</v>
      </c>
      <c r="O9" s="4" t="s">
        <v>25</v>
      </c>
      <c r="P9" s="5">
        <v>45400</v>
      </c>
      <c r="Q9" s="4">
        <v>6</v>
      </c>
      <c r="R9" s="4">
        <v>9</v>
      </c>
      <c r="S9" s="4" t="s">
        <v>99</v>
      </c>
      <c r="T9" s="4" t="s">
        <v>864</v>
      </c>
      <c r="U9" t="str">
        <f t="shared" si="8"/>
        <v>Obese</v>
      </c>
      <c r="V9" s="4" t="str">
        <f t="shared" si="0"/>
        <v>Young adult</v>
      </c>
      <c r="W9" s="4" t="str">
        <f t="shared" si="1"/>
        <v>High Bp</v>
      </c>
      <c r="X9" s="4">
        <f t="shared" si="2"/>
        <v>1</v>
      </c>
      <c r="Y9" s="4">
        <f t="shared" si="3"/>
        <v>1</v>
      </c>
      <c r="Z9" s="4">
        <f t="shared" si="4"/>
        <v>1</v>
      </c>
      <c r="AA9" s="4">
        <f t="shared" si="5"/>
        <v>1</v>
      </c>
      <c r="AB9" s="4">
        <f t="shared" si="6"/>
        <v>0</v>
      </c>
      <c r="AC9" s="4">
        <f>SUM(Table1_2[[#This Row],[bp score]],Table1_2[[#This Row],[bmi score]],Table1_2[[#This Row],[Csmoking score]],Table1_2[[#This Row],[Condition score]],Table1_2[[#This Row],[Cholesterol score]],)</f>
        <v>4</v>
      </c>
      <c r="AD9" s="4" t="str">
        <f t="shared" si="7"/>
        <v>High risk</v>
      </c>
    </row>
    <row r="10" spans="1:30" x14ac:dyDescent="0.35">
      <c r="A10" s="4" t="s">
        <v>84</v>
      </c>
      <c r="B10" s="4" t="s">
        <v>85</v>
      </c>
      <c r="C10" s="4">
        <v>50</v>
      </c>
      <c r="D10" s="4" t="s">
        <v>73</v>
      </c>
      <c r="E10" s="4" t="s">
        <v>23</v>
      </c>
      <c r="F10" s="4" t="s">
        <v>52</v>
      </c>
      <c r="G10" s="4">
        <v>18.600000000000001</v>
      </c>
      <c r="H10" s="4">
        <v>102</v>
      </c>
      <c r="I10" s="4">
        <v>97</v>
      </c>
      <c r="J10" s="4">
        <v>198</v>
      </c>
      <c r="K10" s="4">
        <v>220</v>
      </c>
      <c r="L10" s="4" t="s">
        <v>861</v>
      </c>
      <c r="M10" s="4">
        <v>0</v>
      </c>
      <c r="N10" s="4">
        <v>2</v>
      </c>
      <c r="O10" s="4" t="s">
        <v>25</v>
      </c>
      <c r="P10" s="5">
        <v>44594</v>
      </c>
      <c r="Q10" s="4">
        <v>10</v>
      </c>
      <c r="R10" s="4">
        <v>2</v>
      </c>
      <c r="S10" s="4" t="s">
        <v>38</v>
      </c>
      <c r="T10" s="4" t="s">
        <v>862</v>
      </c>
      <c r="U10" t="str">
        <f t="shared" si="8"/>
        <v>Normal</v>
      </c>
      <c r="V10" s="4" t="str">
        <f t="shared" si="0"/>
        <v>Elder</v>
      </c>
      <c r="W10" s="4" t="str">
        <f t="shared" si="1"/>
        <v>High Bp</v>
      </c>
      <c r="X10" s="4">
        <f t="shared" si="2"/>
        <v>1</v>
      </c>
      <c r="Y10" s="4">
        <f t="shared" si="3"/>
        <v>0</v>
      </c>
      <c r="Z10" s="4">
        <f t="shared" si="4"/>
        <v>0</v>
      </c>
      <c r="AA10" s="4">
        <f t="shared" si="5"/>
        <v>1</v>
      </c>
      <c r="AB10" s="4">
        <f t="shared" si="6"/>
        <v>0</v>
      </c>
      <c r="AC10" s="4">
        <f>SUM(Table1_2[[#This Row],[bp score]],Table1_2[[#This Row],[bmi score]],Table1_2[[#This Row],[Csmoking score]],Table1_2[[#This Row],[Condition score]],Table1_2[[#This Row],[Cholesterol score]],)</f>
        <v>2</v>
      </c>
      <c r="AD10" s="4" t="str">
        <f t="shared" si="7"/>
        <v>Medium risk</v>
      </c>
    </row>
    <row r="11" spans="1:30" x14ac:dyDescent="0.35">
      <c r="A11" s="4" t="s">
        <v>88</v>
      </c>
      <c r="B11" s="4" t="s">
        <v>89</v>
      </c>
      <c r="C11">
        <v>45</v>
      </c>
      <c r="D11" s="4" t="s">
        <v>73</v>
      </c>
      <c r="E11" s="4" t="s">
        <v>23</v>
      </c>
      <c r="F11" s="4" t="s">
        <v>90</v>
      </c>
      <c r="G11">
        <v>37.200000000000003</v>
      </c>
      <c r="H11">
        <v>124</v>
      </c>
      <c r="I11">
        <v>66</v>
      </c>
      <c r="J11">
        <v>164</v>
      </c>
      <c r="K11">
        <v>238</v>
      </c>
      <c r="L11" s="4" t="s">
        <v>860</v>
      </c>
      <c r="M11">
        <v>5</v>
      </c>
      <c r="N11">
        <v>7</v>
      </c>
      <c r="O11" s="4" t="s">
        <v>25</v>
      </c>
      <c r="P11" s="5">
        <v>45628</v>
      </c>
      <c r="Q11">
        <v>20</v>
      </c>
      <c r="R11">
        <v>20</v>
      </c>
      <c r="S11" s="4" t="s">
        <v>92</v>
      </c>
      <c r="T11" s="4" t="s">
        <v>862</v>
      </c>
      <c r="U11" t="str">
        <f t="shared" si="8"/>
        <v>Obese</v>
      </c>
      <c r="V11" s="4" t="str">
        <f t="shared" si="0"/>
        <v>Elder</v>
      </c>
      <c r="W11" s="4" t="str">
        <f t="shared" si="1"/>
        <v>Elevated</v>
      </c>
      <c r="X11" s="4">
        <f t="shared" si="2"/>
        <v>0</v>
      </c>
      <c r="Y11" s="4">
        <f t="shared" si="3"/>
        <v>1</v>
      </c>
      <c r="Z11" s="4">
        <f t="shared" si="4"/>
        <v>0</v>
      </c>
      <c r="AA11" s="4">
        <f t="shared" si="5"/>
        <v>1</v>
      </c>
      <c r="AB11" s="4">
        <f t="shared" si="6"/>
        <v>0</v>
      </c>
      <c r="AC11" s="4">
        <f>SUM(Table1_2[[#This Row],[bp score]],Table1_2[[#This Row],[bmi score]],Table1_2[[#This Row],[Csmoking score]],Table1_2[[#This Row],[Condition score]],Table1_2[[#This Row],[Cholesterol score]],)</f>
        <v>2</v>
      </c>
      <c r="AD11" s="4" t="str">
        <f t="shared" si="7"/>
        <v>Medium risk</v>
      </c>
    </row>
    <row r="12" spans="1:30" x14ac:dyDescent="0.35">
      <c r="A12" s="4" t="s">
        <v>93</v>
      </c>
      <c r="B12" s="4" t="s">
        <v>94</v>
      </c>
      <c r="C12">
        <v>28</v>
      </c>
      <c r="D12" s="4" t="s">
        <v>73</v>
      </c>
      <c r="E12" s="4" t="s">
        <v>23</v>
      </c>
      <c r="F12" s="4" t="s">
        <v>52</v>
      </c>
      <c r="G12">
        <v>30.4</v>
      </c>
      <c r="H12">
        <v>117</v>
      </c>
      <c r="I12">
        <v>87</v>
      </c>
      <c r="J12">
        <v>186</v>
      </c>
      <c r="K12">
        <v>141</v>
      </c>
      <c r="L12" s="4" t="s">
        <v>859</v>
      </c>
      <c r="M12">
        <v>3</v>
      </c>
      <c r="N12">
        <v>2</v>
      </c>
      <c r="O12" s="4" t="s">
        <v>35</v>
      </c>
      <c r="P12" s="5">
        <v>44217</v>
      </c>
      <c r="Q12">
        <v>17</v>
      </c>
      <c r="R12">
        <v>0</v>
      </c>
      <c r="S12" s="4" t="s">
        <v>92</v>
      </c>
      <c r="T12" s="4" t="s">
        <v>862</v>
      </c>
      <c r="U12" t="str">
        <f t="shared" si="8"/>
        <v>Obese</v>
      </c>
      <c r="V12" s="4" t="str">
        <f t="shared" si="0"/>
        <v>Young adult</v>
      </c>
      <c r="W12" s="4" t="str">
        <f t="shared" si="1"/>
        <v>High Bp</v>
      </c>
      <c r="X12" s="4">
        <f t="shared" si="2"/>
        <v>1</v>
      </c>
      <c r="Y12" s="4">
        <f t="shared" si="3"/>
        <v>1</v>
      </c>
      <c r="Z12" s="4">
        <f t="shared" si="4"/>
        <v>1</v>
      </c>
      <c r="AA12" s="4">
        <f t="shared" si="5"/>
        <v>1</v>
      </c>
      <c r="AB12" s="4">
        <f t="shared" si="6"/>
        <v>0</v>
      </c>
      <c r="AC12" s="4">
        <f>SUM(Table1_2[[#This Row],[bp score]],Table1_2[[#This Row],[bmi score]],Table1_2[[#This Row],[Csmoking score]],Table1_2[[#This Row],[Condition score]],Table1_2[[#This Row],[Cholesterol score]],)</f>
        <v>4</v>
      </c>
      <c r="AD12" s="4" t="str">
        <f t="shared" si="7"/>
        <v>High risk</v>
      </c>
    </row>
    <row r="13" spans="1:30" x14ac:dyDescent="0.35">
      <c r="A13" s="4" t="s">
        <v>96</v>
      </c>
      <c r="B13" s="4" t="s">
        <v>97</v>
      </c>
      <c r="C13">
        <v>53</v>
      </c>
      <c r="D13" s="4" t="s">
        <v>73</v>
      </c>
      <c r="E13" s="4" t="s">
        <v>23</v>
      </c>
      <c r="F13" s="4" t="s">
        <v>82</v>
      </c>
      <c r="G13">
        <v>39.6</v>
      </c>
      <c r="H13">
        <v>121</v>
      </c>
      <c r="I13">
        <v>84</v>
      </c>
      <c r="J13">
        <v>140</v>
      </c>
      <c r="K13">
        <v>169</v>
      </c>
      <c r="L13" s="4" t="s">
        <v>859</v>
      </c>
      <c r="M13">
        <v>7</v>
      </c>
      <c r="N13">
        <v>5</v>
      </c>
      <c r="O13" s="4" t="s">
        <v>25</v>
      </c>
      <c r="P13" s="5">
        <v>45358</v>
      </c>
      <c r="Q13">
        <v>9</v>
      </c>
      <c r="R13">
        <v>6</v>
      </c>
      <c r="S13" s="4" t="s">
        <v>99</v>
      </c>
      <c r="T13" s="4" t="s">
        <v>100</v>
      </c>
      <c r="U13" t="str">
        <f t="shared" si="8"/>
        <v>Obese</v>
      </c>
      <c r="V13" s="4" t="str">
        <f t="shared" si="0"/>
        <v>Aged</v>
      </c>
      <c r="W13" s="4" t="str">
        <f t="shared" si="1"/>
        <v>High Bp</v>
      </c>
      <c r="X13" s="4">
        <f t="shared" si="2"/>
        <v>1</v>
      </c>
      <c r="Y13" s="4">
        <f t="shared" si="3"/>
        <v>1</v>
      </c>
      <c r="Z13" s="4">
        <f t="shared" si="4"/>
        <v>1</v>
      </c>
      <c r="AA13" s="4">
        <f t="shared" si="5"/>
        <v>1</v>
      </c>
      <c r="AB13" s="4">
        <f t="shared" si="6"/>
        <v>0</v>
      </c>
      <c r="AC13" s="4">
        <f>SUM(Table1_2[[#This Row],[bp score]],Table1_2[[#This Row],[bmi score]],Table1_2[[#This Row],[Csmoking score]],Table1_2[[#This Row],[Condition score]],Table1_2[[#This Row],[Cholesterol score]],)</f>
        <v>4</v>
      </c>
      <c r="AD13" s="4" t="str">
        <f t="shared" si="7"/>
        <v>High risk</v>
      </c>
    </row>
    <row r="14" spans="1:30" x14ac:dyDescent="0.35">
      <c r="A14" s="4" t="s">
        <v>101</v>
      </c>
      <c r="B14" s="4" t="s">
        <v>102</v>
      </c>
      <c r="C14">
        <v>25</v>
      </c>
      <c r="D14" s="4" t="s">
        <v>32</v>
      </c>
      <c r="E14" s="4" t="s">
        <v>33</v>
      </c>
      <c r="F14" s="4" t="s">
        <v>90</v>
      </c>
      <c r="G14">
        <v>29.6</v>
      </c>
      <c r="H14">
        <v>167</v>
      </c>
      <c r="I14">
        <v>70</v>
      </c>
      <c r="J14">
        <v>154</v>
      </c>
      <c r="K14">
        <v>200</v>
      </c>
      <c r="L14" s="4" t="s">
        <v>860</v>
      </c>
      <c r="M14">
        <v>2</v>
      </c>
      <c r="N14">
        <v>2</v>
      </c>
      <c r="O14" s="4" t="s">
        <v>35</v>
      </c>
      <c r="P14" s="5">
        <v>44746</v>
      </c>
      <c r="Q14">
        <v>18</v>
      </c>
      <c r="R14">
        <v>7</v>
      </c>
      <c r="S14" s="4" t="s">
        <v>46</v>
      </c>
      <c r="T14" s="4" t="s">
        <v>862</v>
      </c>
      <c r="U14" t="str">
        <f t="shared" si="8"/>
        <v>Overweight</v>
      </c>
      <c r="V14" s="4" t="str">
        <f t="shared" si="0"/>
        <v>Young adult</v>
      </c>
      <c r="W14" s="4" t="str">
        <f t="shared" si="1"/>
        <v>High Bp</v>
      </c>
      <c r="X14" s="4">
        <f t="shared" si="2"/>
        <v>1</v>
      </c>
      <c r="Y14" s="4">
        <f t="shared" si="3"/>
        <v>0</v>
      </c>
      <c r="Z14" s="4">
        <f t="shared" si="4"/>
        <v>0</v>
      </c>
      <c r="AA14" s="4">
        <f t="shared" si="5"/>
        <v>0</v>
      </c>
      <c r="AB14" s="4">
        <f t="shared" si="6"/>
        <v>0</v>
      </c>
      <c r="AC14" s="4">
        <f>SUM(Table1_2[[#This Row],[bp score]],Table1_2[[#This Row],[bmi score]],Table1_2[[#This Row],[Csmoking score]],Table1_2[[#This Row],[Condition score]],Table1_2[[#This Row],[Cholesterol score]],)</f>
        <v>1</v>
      </c>
      <c r="AD14" s="4" t="str">
        <f t="shared" si="7"/>
        <v>Low risk</v>
      </c>
    </row>
    <row r="15" spans="1:30" x14ac:dyDescent="0.35">
      <c r="A15" s="4" t="s">
        <v>104</v>
      </c>
      <c r="B15" s="4" t="s">
        <v>105</v>
      </c>
      <c r="C15">
        <v>48</v>
      </c>
      <c r="D15" s="4" t="s">
        <v>73</v>
      </c>
      <c r="E15" s="4" t="s">
        <v>74</v>
      </c>
      <c r="F15" s="4" t="s">
        <v>52</v>
      </c>
      <c r="G15">
        <v>33.700000000000003</v>
      </c>
      <c r="H15">
        <v>140</v>
      </c>
      <c r="I15">
        <v>75</v>
      </c>
      <c r="J15">
        <v>207</v>
      </c>
      <c r="K15">
        <v>171</v>
      </c>
      <c r="L15" s="4" t="s">
        <v>860</v>
      </c>
      <c r="M15">
        <v>7</v>
      </c>
      <c r="N15">
        <v>5</v>
      </c>
      <c r="O15" s="4" t="s">
        <v>35</v>
      </c>
      <c r="P15" s="5">
        <v>44958</v>
      </c>
      <c r="Q15">
        <v>14</v>
      </c>
      <c r="R15">
        <v>19</v>
      </c>
      <c r="S15" s="4" t="s">
        <v>78</v>
      </c>
      <c r="T15" s="4" t="s">
        <v>863</v>
      </c>
      <c r="U15" t="str">
        <f t="shared" si="8"/>
        <v>Obese</v>
      </c>
      <c r="V15" s="4" t="str">
        <f t="shared" si="0"/>
        <v>Elder</v>
      </c>
      <c r="W15" s="4" t="str">
        <f t="shared" si="1"/>
        <v>High Bp</v>
      </c>
      <c r="X15" s="4">
        <f t="shared" si="2"/>
        <v>1</v>
      </c>
      <c r="Y15" s="4">
        <f t="shared" si="3"/>
        <v>1</v>
      </c>
      <c r="Z15" s="4">
        <f t="shared" si="4"/>
        <v>0</v>
      </c>
      <c r="AA15" s="4">
        <f t="shared" si="5"/>
        <v>0</v>
      </c>
      <c r="AB15" s="4">
        <f t="shared" si="6"/>
        <v>1</v>
      </c>
      <c r="AC15" s="4">
        <f>SUM(Table1_2[[#This Row],[bp score]],Table1_2[[#This Row],[bmi score]],Table1_2[[#This Row],[Csmoking score]],Table1_2[[#This Row],[Condition score]],Table1_2[[#This Row],[Cholesterol score]],)</f>
        <v>3</v>
      </c>
      <c r="AD15" s="4" t="str">
        <f t="shared" si="7"/>
        <v>Medium risk</v>
      </c>
    </row>
    <row r="16" spans="1:30" x14ac:dyDescent="0.35">
      <c r="A16" s="4" t="s">
        <v>109</v>
      </c>
      <c r="B16" s="4" t="s">
        <v>110</v>
      </c>
      <c r="C16">
        <v>35</v>
      </c>
      <c r="D16" s="4" t="s">
        <v>32</v>
      </c>
      <c r="E16" s="4" t="s">
        <v>33</v>
      </c>
      <c r="F16" s="4" t="s">
        <v>117</v>
      </c>
      <c r="G16">
        <v>39</v>
      </c>
      <c r="H16">
        <v>131</v>
      </c>
      <c r="I16">
        <v>83</v>
      </c>
      <c r="J16">
        <v>212</v>
      </c>
      <c r="K16">
        <v>110</v>
      </c>
      <c r="L16" s="4" t="s">
        <v>859</v>
      </c>
      <c r="M16">
        <v>0</v>
      </c>
      <c r="N16">
        <v>5</v>
      </c>
      <c r="O16" s="4" t="s">
        <v>25</v>
      </c>
      <c r="P16" s="5">
        <v>45234</v>
      </c>
      <c r="Q16">
        <v>4</v>
      </c>
      <c r="R16">
        <v>8</v>
      </c>
      <c r="S16" s="4" t="s">
        <v>92</v>
      </c>
      <c r="T16" s="4" t="s">
        <v>863</v>
      </c>
      <c r="U16" t="str">
        <f t="shared" si="8"/>
        <v>Obese</v>
      </c>
      <c r="V16" s="4" t="str">
        <f t="shared" si="0"/>
        <v>Adult</v>
      </c>
      <c r="W16" s="4" t="str">
        <f t="shared" si="1"/>
        <v>High Bp</v>
      </c>
      <c r="X16" s="4">
        <f t="shared" si="2"/>
        <v>1</v>
      </c>
      <c r="Y16" s="4">
        <f t="shared" si="3"/>
        <v>1</v>
      </c>
      <c r="Z16" s="4">
        <f t="shared" si="4"/>
        <v>1</v>
      </c>
      <c r="AA16" s="4">
        <f t="shared" si="5"/>
        <v>1</v>
      </c>
      <c r="AB16" s="4">
        <f t="shared" si="6"/>
        <v>1</v>
      </c>
      <c r="AC16" s="4">
        <f>SUM(Table1_2[[#This Row],[bp score]],Table1_2[[#This Row],[bmi score]],Table1_2[[#This Row],[Csmoking score]],Table1_2[[#This Row],[Condition score]],Table1_2[[#This Row],[Cholesterol score]],)</f>
        <v>5</v>
      </c>
      <c r="AD16" s="4" t="str">
        <f t="shared" si="7"/>
        <v>High risk</v>
      </c>
    </row>
    <row r="17" spans="1:30" x14ac:dyDescent="0.35">
      <c r="A17" s="4" t="s">
        <v>112</v>
      </c>
      <c r="B17" s="4" t="s">
        <v>113</v>
      </c>
      <c r="C17">
        <v>39</v>
      </c>
      <c r="D17" s="4" t="s">
        <v>32</v>
      </c>
      <c r="E17" s="4" t="s">
        <v>33</v>
      </c>
      <c r="F17" s="4" t="s">
        <v>52</v>
      </c>
      <c r="G17">
        <v>34.9</v>
      </c>
      <c r="H17">
        <v>126</v>
      </c>
      <c r="I17">
        <v>103</v>
      </c>
      <c r="J17">
        <v>207</v>
      </c>
      <c r="K17">
        <v>199</v>
      </c>
      <c r="L17" s="4" t="s">
        <v>859</v>
      </c>
      <c r="M17">
        <v>4</v>
      </c>
      <c r="N17">
        <v>1</v>
      </c>
      <c r="O17" s="4" t="s">
        <v>35</v>
      </c>
      <c r="P17" s="5">
        <v>45414</v>
      </c>
      <c r="Q17">
        <v>0</v>
      </c>
      <c r="R17">
        <v>10</v>
      </c>
      <c r="S17" s="4" t="s">
        <v>60</v>
      </c>
      <c r="T17" s="4" t="s">
        <v>863</v>
      </c>
      <c r="U17" t="str">
        <f t="shared" si="8"/>
        <v>Obese</v>
      </c>
      <c r="V17" s="4" t="str">
        <f t="shared" si="0"/>
        <v>Adult</v>
      </c>
      <c r="W17" s="4" t="str">
        <f t="shared" si="1"/>
        <v>High Bp</v>
      </c>
      <c r="X17" s="4">
        <f t="shared" si="2"/>
        <v>1</v>
      </c>
      <c r="Y17" s="4">
        <f t="shared" si="3"/>
        <v>1</v>
      </c>
      <c r="Z17" s="4">
        <f t="shared" si="4"/>
        <v>1</v>
      </c>
      <c r="AA17" s="4">
        <f t="shared" si="5"/>
        <v>1</v>
      </c>
      <c r="AB17" s="4">
        <f t="shared" si="6"/>
        <v>1</v>
      </c>
      <c r="AC17" s="4">
        <f>SUM(Table1_2[[#This Row],[bp score]],Table1_2[[#This Row],[bmi score]],Table1_2[[#This Row],[Csmoking score]],Table1_2[[#This Row],[Condition score]],Table1_2[[#This Row],[Cholesterol score]],)</f>
        <v>5</v>
      </c>
      <c r="AD17" s="4" t="str">
        <f t="shared" si="7"/>
        <v>High risk</v>
      </c>
    </row>
    <row r="18" spans="1:30" x14ac:dyDescent="0.35">
      <c r="A18" s="4" t="s">
        <v>115</v>
      </c>
      <c r="B18" s="4" t="s">
        <v>116</v>
      </c>
      <c r="C18">
        <v>57</v>
      </c>
      <c r="D18" s="4" t="s">
        <v>32</v>
      </c>
      <c r="E18" s="4" t="s">
        <v>131</v>
      </c>
      <c r="F18" s="4" t="s">
        <v>117</v>
      </c>
      <c r="G18">
        <v>19.8</v>
      </c>
      <c r="H18">
        <v>119</v>
      </c>
      <c r="I18">
        <v>94</v>
      </c>
      <c r="J18">
        <v>149</v>
      </c>
      <c r="K18">
        <v>164</v>
      </c>
      <c r="L18" s="4" t="s">
        <v>100</v>
      </c>
      <c r="M18">
        <v>0</v>
      </c>
      <c r="N18">
        <v>3</v>
      </c>
      <c r="O18" s="4" t="s">
        <v>25</v>
      </c>
      <c r="P18" s="5">
        <v>44571</v>
      </c>
      <c r="Q18">
        <v>11</v>
      </c>
      <c r="R18">
        <v>1</v>
      </c>
      <c r="S18" s="4" t="s">
        <v>78</v>
      </c>
      <c r="T18" s="4" t="s">
        <v>862</v>
      </c>
      <c r="U18" t="str">
        <f t="shared" si="8"/>
        <v>Normal</v>
      </c>
      <c r="V18" s="4" t="str">
        <f t="shared" si="0"/>
        <v>Aged</v>
      </c>
      <c r="W18" s="4" t="str">
        <f t="shared" si="1"/>
        <v>High Bp</v>
      </c>
      <c r="X18" s="4">
        <f t="shared" si="2"/>
        <v>1</v>
      </c>
      <c r="Y18" s="4">
        <f t="shared" si="3"/>
        <v>0</v>
      </c>
      <c r="Z18" s="4">
        <f t="shared" si="4"/>
        <v>0</v>
      </c>
      <c r="AA18" s="4">
        <f t="shared" si="5"/>
        <v>0</v>
      </c>
      <c r="AB18" s="4">
        <f t="shared" si="6"/>
        <v>0</v>
      </c>
      <c r="AC18" s="4">
        <f>SUM(Table1_2[[#This Row],[bp score]],Table1_2[[#This Row],[bmi score]],Table1_2[[#This Row],[Csmoking score]],Table1_2[[#This Row],[Condition score]],Table1_2[[#This Row],[Cholesterol score]],)</f>
        <v>1</v>
      </c>
      <c r="AD18" s="4" t="str">
        <f t="shared" si="7"/>
        <v>Low risk</v>
      </c>
    </row>
    <row r="19" spans="1:30" x14ac:dyDescent="0.35">
      <c r="A19" s="4" t="s">
        <v>119</v>
      </c>
      <c r="B19" s="4" t="s">
        <v>120</v>
      </c>
      <c r="C19">
        <v>44</v>
      </c>
      <c r="D19" s="4" t="s">
        <v>32</v>
      </c>
      <c r="E19" s="4" t="s">
        <v>33</v>
      </c>
      <c r="F19" s="4" t="s">
        <v>24</v>
      </c>
      <c r="G19">
        <v>40.1</v>
      </c>
      <c r="H19">
        <v>130</v>
      </c>
      <c r="I19">
        <v>70</v>
      </c>
      <c r="J19">
        <v>185</v>
      </c>
      <c r="K19">
        <v>175</v>
      </c>
      <c r="L19" s="4" t="s">
        <v>859</v>
      </c>
      <c r="M19">
        <v>2</v>
      </c>
      <c r="N19">
        <v>6</v>
      </c>
      <c r="O19" s="4" t="s">
        <v>25</v>
      </c>
      <c r="P19" s="5">
        <v>44687</v>
      </c>
      <c r="Q19">
        <v>3</v>
      </c>
      <c r="R19">
        <v>12</v>
      </c>
      <c r="S19" s="4" t="s">
        <v>99</v>
      </c>
      <c r="T19" s="4" t="s">
        <v>100</v>
      </c>
      <c r="U19" t="str">
        <f t="shared" si="8"/>
        <v>Obese</v>
      </c>
      <c r="V19" s="4" t="str">
        <f t="shared" si="0"/>
        <v>Elder</v>
      </c>
      <c r="W19" s="4" t="str">
        <f t="shared" si="1"/>
        <v>High Bp</v>
      </c>
      <c r="X19" s="4">
        <f t="shared" si="2"/>
        <v>1</v>
      </c>
      <c r="Y19" s="4">
        <f t="shared" si="3"/>
        <v>1</v>
      </c>
      <c r="Z19" s="4">
        <f t="shared" si="4"/>
        <v>1</v>
      </c>
      <c r="AA19" s="4">
        <f t="shared" si="5"/>
        <v>1</v>
      </c>
      <c r="AB19" s="4">
        <f t="shared" si="6"/>
        <v>0</v>
      </c>
      <c r="AC19" s="4">
        <f>SUM(Table1_2[[#This Row],[bp score]],Table1_2[[#This Row],[bmi score]],Table1_2[[#This Row],[Csmoking score]],Table1_2[[#This Row],[Condition score]],Table1_2[[#This Row],[Cholesterol score]],)</f>
        <v>4</v>
      </c>
      <c r="AD19" s="4" t="str">
        <f t="shared" si="7"/>
        <v>High risk</v>
      </c>
    </row>
    <row r="20" spans="1:30" x14ac:dyDescent="0.35">
      <c r="A20" s="4" t="s">
        <v>122</v>
      </c>
      <c r="B20" s="4" t="s">
        <v>123</v>
      </c>
      <c r="C20">
        <v>51</v>
      </c>
      <c r="D20" s="4" t="s">
        <v>73</v>
      </c>
      <c r="E20" s="4" t="s">
        <v>74</v>
      </c>
      <c r="F20" s="4" t="s">
        <v>52</v>
      </c>
      <c r="G20">
        <v>22.6</v>
      </c>
      <c r="H20">
        <v>124</v>
      </c>
      <c r="I20">
        <v>85</v>
      </c>
      <c r="J20">
        <v>224</v>
      </c>
      <c r="K20">
        <v>141</v>
      </c>
      <c r="L20" s="4" t="s">
        <v>860</v>
      </c>
      <c r="M20">
        <v>4</v>
      </c>
      <c r="N20">
        <v>6</v>
      </c>
      <c r="O20" s="4" t="s">
        <v>25</v>
      </c>
      <c r="P20" s="5">
        <v>44930</v>
      </c>
      <c r="Q20">
        <v>8</v>
      </c>
      <c r="R20">
        <v>5</v>
      </c>
      <c r="S20" s="4" t="s">
        <v>78</v>
      </c>
      <c r="T20" s="4" t="s">
        <v>863</v>
      </c>
      <c r="U20" t="str">
        <f t="shared" si="8"/>
        <v>Normal</v>
      </c>
      <c r="V20" s="4" t="str">
        <f t="shared" si="0"/>
        <v>Aged</v>
      </c>
      <c r="W20" s="4" t="str">
        <f t="shared" si="1"/>
        <v>High Bp</v>
      </c>
      <c r="X20" s="4">
        <f t="shared" si="2"/>
        <v>1</v>
      </c>
      <c r="Y20" s="4">
        <f t="shared" si="3"/>
        <v>0</v>
      </c>
      <c r="Z20" s="4">
        <f t="shared" si="4"/>
        <v>0</v>
      </c>
      <c r="AA20" s="4">
        <f t="shared" si="5"/>
        <v>0</v>
      </c>
      <c r="AB20" s="4">
        <f t="shared" si="6"/>
        <v>1</v>
      </c>
      <c r="AC20" s="4">
        <f>SUM(Table1_2[[#This Row],[bp score]],Table1_2[[#This Row],[bmi score]],Table1_2[[#This Row],[Csmoking score]],Table1_2[[#This Row],[Condition score]],Table1_2[[#This Row],[Cholesterol score]],)</f>
        <v>2</v>
      </c>
      <c r="AD20" s="4" t="str">
        <f t="shared" si="7"/>
        <v>Medium risk</v>
      </c>
    </row>
    <row r="21" spans="1:30" x14ac:dyDescent="0.35">
      <c r="A21" s="4" t="s">
        <v>125</v>
      </c>
      <c r="B21" s="4" t="s">
        <v>126</v>
      </c>
      <c r="C21">
        <v>60</v>
      </c>
      <c r="D21" s="4" t="s">
        <v>32</v>
      </c>
      <c r="E21" s="4" t="s">
        <v>127</v>
      </c>
      <c r="F21" s="4" t="s">
        <v>117</v>
      </c>
      <c r="G21">
        <v>27.9</v>
      </c>
      <c r="H21">
        <v>165</v>
      </c>
      <c r="I21">
        <v>67</v>
      </c>
      <c r="J21">
        <v>238</v>
      </c>
      <c r="K21">
        <v>217</v>
      </c>
      <c r="L21" s="4" t="s">
        <v>861</v>
      </c>
      <c r="M21">
        <v>4</v>
      </c>
      <c r="N21">
        <v>1</v>
      </c>
      <c r="O21" s="4" t="s">
        <v>25</v>
      </c>
      <c r="P21" s="5">
        <v>44465</v>
      </c>
      <c r="Q21">
        <v>17</v>
      </c>
      <c r="R21">
        <v>6</v>
      </c>
      <c r="S21" s="4" t="s">
        <v>78</v>
      </c>
      <c r="T21" s="4" t="s">
        <v>100</v>
      </c>
      <c r="U21" t="str">
        <f t="shared" si="8"/>
        <v>Overweight</v>
      </c>
      <c r="V21" s="4" t="str">
        <f t="shared" si="0"/>
        <v>Aged</v>
      </c>
      <c r="W21" s="4" t="str">
        <f t="shared" si="1"/>
        <v>High Bp</v>
      </c>
      <c r="X21" s="4">
        <f t="shared" si="2"/>
        <v>1</v>
      </c>
      <c r="Y21" s="4">
        <f t="shared" si="3"/>
        <v>0</v>
      </c>
      <c r="Z21" s="4">
        <f t="shared" si="4"/>
        <v>0</v>
      </c>
      <c r="AA21" s="4">
        <f t="shared" si="5"/>
        <v>0</v>
      </c>
      <c r="AB21" s="4">
        <f t="shared" si="6"/>
        <v>1</v>
      </c>
      <c r="AC21" s="4">
        <f>SUM(Table1_2[[#This Row],[bp score]],Table1_2[[#This Row],[bmi score]],Table1_2[[#This Row],[Csmoking score]],Table1_2[[#This Row],[Condition score]],Table1_2[[#This Row],[Cholesterol score]],)</f>
        <v>2</v>
      </c>
      <c r="AD21" s="4" t="str">
        <f t="shared" si="7"/>
        <v>Medium risk</v>
      </c>
    </row>
    <row r="22" spans="1:30" x14ac:dyDescent="0.35">
      <c r="A22" s="4" t="s">
        <v>129</v>
      </c>
      <c r="B22" s="4" t="s">
        <v>130</v>
      </c>
      <c r="C22">
        <v>61</v>
      </c>
      <c r="D22" s="4" t="s">
        <v>73</v>
      </c>
      <c r="E22" s="4" t="s">
        <v>131</v>
      </c>
      <c r="F22" s="4" t="s">
        <v>57</v>
      </c>
      <c r="G22">
        <v>29.7</v>
      </c>
      <c r="H22">
        <v>152</v>
      </c>
      <c r="I22">
        <v>80</v>
      </c>
      <c r="J22">
        <v>243</v>
      </c>
      <c r="K22">
        <v>248</v>
      </c>
      <c r="L22" s="4" t="s">
        <v>859</v>
      </c>
      <c r="M22">
        <v>0</v>
      </c>
      <c r="N22">
        <v>3</v>
      </c>
      <c r="O22" s="4" t="s">
        <v>35</v>
      </c>
      <c r="P22" s="5">
        <v>45609</v>
      </c>
      <c r="Q22">
        <v>5</v>
      </c>
      <c r="R22">
        <v>19</v>
      </c>
      <c r="S22" s="4" t="s">
        <v>78</v>
      </c>
      <c r="T22" s="4" t="s">
        <v>863</v>
      </c>
      <c r="U22" t="str">
        <f t="shared" si="8"/>
        <v>Overweight</v>
      </c>
      <c r="V22" s="4" t="str">
        <f t="shared" si="0"/>
        <v>Aged</v>
      </c>
      <c r="W22" s="4" t="str">
        <f t="shared" si="1"/>
        <v>High Bp</v>
      </c>
      <c r="X22" s="4">
        <f t="shared" si="2"/>
        <v>1</v>
      </c>
      <c r="Y22" s="4">
        <f t="shared" si="3"/>
        <v>0</v>
      </c>
      <c r="Z22" s="4">
        <f t="shared" si="4"/>
        <v>1</v>
      </c>
      <c r="AA22" s="4">
        <f t="shared" si="5"/>
        <v>0</v>
      </c>
      <c r="AB22" s="4">
        <f t="shared" si="6"/>
        <v>1</v>
      </c>
      <c r="AC22" s="4">
        <f>SUM(Table1_2[[#This Row],[bp score]],Table1_2[[#This Row],[bmi score]],Table1_2[[#This Row],[Csmoking score]],Table1_2[[#This Row],[Condition score]],Table1_2[[#This Row],[Cholesterol score]],)</f>
        <v>3</v>
      </c>
      <c r="AD22" s="4" t="str">
        <f t="shared" si="7"/>
        <v>Medium risk</v>
      </c>
    </row>
    <row r="23" spans="1:30" x14ac:dyDescent="0.35">
      <c r="A23" s="4" t="s">
        <v>133</v>
      </c>
      <c r="B23" s="4" t="s">
        <v>134</v>
      </c>
      <c r="C23">
        <v>22</v>
      </c>
      <c r="D23" s="4" t="s">
        <v>32</v>
      </c>
      <c r="E23" s="4" t="s">
        <v>74</v>
      </c>
      <c r="F23" s="4" t="s">
        <v>52</v>
      </c>
      <c r="G23">
        <v>27.7</v>
      </c>
      <c r="H23">
        <v>141</v>
      </c>
      <c r="I23">
        <v>89</v>
      </c>
      <c r="J23">
        <v>253</v>
      </c>
      <c r="K23">
        <v>183</v>
      </c>
      <c r="L23" s="4" t="s">
        <v>861</v>
      </c>
      <c r="M23">
        <v>0</v>
      </c>
      <c r="N23">
        <v>8</v>
      </c>
      <c r="O23" s="4" t="s">
        <v>25</v>
      </c>
      <c r="P23" s="5">
        <v>44333</v>
      </c>
      <c r="Q23">
        <v>20</v>
      </c>
      <c r="R23">
        <v>19</v>
      </c>
      <c r="S23" s="4" t="s">
        <v>78</v>
      </c>
      <c r="T23" s="4" t="s">
        <v>863</v>
      </c>
      <c r="U23" t="str">
        <f t="shared" si="8"/>
        <v>Overweight</v>
      </c>
      <c r="V23" s="4" t="str">
        <f t="shared" si="0"/>
        <v>Young adult</v>
      </c>
      <c r="W23" s="4" t="str">
        <f t="shared" si="1"/>
        <v>High Bp</v>
      </c>
      <c r="X23" s="4">
        <f t="shared" si="2"/>
        <v>1</v>
      </c>
      <c r="Y23" s="4">
        <f t="shared" si="3"/>
        <v>0</v>
      </c>
      <c r="Z23" s="4">
        <f t="shared" si="4"/>
        <v>0</v>
      </c>
      <c r="AA23" s="4">
        <f t="shared" si="5"/>
        <v>0</v>
      </c>
      <c r="AB23" s="4">
        <f t="shared" si="6"/>
        <v>1</v>
      </c>
      <c r="AC23" s="4">
        <f>SUM(Table1_2[[#This Row],[bp score]],Table1_2[[#This Row],[bmi score]],Table1_2[[#This Row],[Csmoking score]],Table1_2[[#This Row],[Condition score]],Table1_2[[#This Row],[Cholesterol score]],)</f>
        <v>2</v>
      </c>
      <c r="AD23" s="4" t="str">
        <f t="shared" si="7"/>
        <v>Medium risk</v>
      </c>
    </row>
    <row r="24" spans="1:30" x14ac:dyDescent="0.35">
      <c r="A24" s="4" t="s">
        <v>136</v>
      </c>
      <c r="B24" s="4" t="s">
        <v>137</v>
      </c>
      <c r="C24">
        <v>36</v>
      </c>
      <c r="D24" s="4" t="s">
        <v>73</v>
      </c>
      <c r="E24" s="4" t="s">
        <v>33</v>
      </c>
      <c r="F24" s="4" t="s">
        <v>117</v>
      </c>
      <c r="G24">
        <v>18.2</v>
      </c>
      <c r="H24">
        <v>160</v>
      </c>
      <c r="I24">
        <v>99</v>
      </c>
      <c r="J24">
        <v>158</v>
      </c>
      <c r="K24">
        <v>186</v>
      </c>
      <c r="L24" s="4" t="s">
        <v>860</v>
      </c>
      <c r="M24">
        <v>7</v>
      </c>
      <c r="N24">
        <v>10</v>
      </c>
      <c r="O24" s="4" t="s">
        <v>35</v>
      </c>
      <c r="P24" s="5">
        <v>45517</v>
      </c>
      <c r="Q24">
        <v>7</v>
      </c>
      <c r="R24">
        <v>4</v>
      </c>
      <c r="S24" s="4" t="s">
        <v>78</v>
      </c>
      <c r="T24" s="4" t="s">
        <v>862</v>
      </c>
      <c r="U24" t="str">
        <f t="shared" si="8"/>
        <v>Underweight</v>
      </c>
      <c r="V24" s="4" t="str">
        <f t="shared" si="0"/>
        <v>Adult</v>
      </c>
      <c r="W24" s="4" t="str">
        <f t="shared" si="1"/>
        <v>High Bp</v>
      </c>
      <c r="X24" s="4">
        <f t="shared" si="2"/>
        <v>1</v>
      </c>
      <c r="Y24" s="4">
        <f t="shared" si="3"/>
        <v>0</v>
      </c>
      <c r="Z24" s="4">
        <f t="shared" si="4"/>
        <v>0</v>
      </c>
      <c r="AA24" s="4">
        <f t="shared" si="5"/>
        <v>0</v>
      </c>
      <c r="AB24" s="4">
        <f t="shared" si="6"/>
        <v>0</v>
      </c>
      <c r="AC24" s="4">
        <f>SUM(Table1_2[[#This Row],[bp score]],Table1_2[[#This Row],[bmi score]],Table1_2[[#This Row],[Csmoking score]],Table1_2[[#This Row],[Condition score]],Table1_2[[#This Row],[Cholesterol score]],)</f>
        <v>1</v>
      </c>
      <c r="AD24" s="4" t="str">
        <f t="shared" si="7"/>
        <v>Low risk</v>
      </c>
    </row>
    <row r="25" spans="1:30" x14ac:dyDescent="0.35">
      <c r="A25" s="4" t="s">
        <v>139</v>
      </c>
      <c r="B25" s="4" t="s">
        <v>140</v>
      </c>
      <c r="C25">
        <v>36</v>
      </c>
      <c r="D25" s="4" t="s">
        <v>32</v>
      </c>
      <c r="E25" s="4" t="s">
        <v>131</v>
      </c>
      <c r="F25" s="4" t="s">
        <v>90</v>
      </c>
      <c r="G25">
        <v>18.3</v>
      </c>
      <c r="H25">
        <v>131</v>
      </c>
      <c r="I25">
        <v>67</v>
      </c>
      <c r="J25">
        <v>256</v>
      </c>
      <c r="K25">
        <v>104</v>
      </c>
      <c r="L25" s="4" t="s">
        <v>859</v>
      </c>
      <c r="M25">
        <v>7</v>
      </c>
      <c r="N25">
        <v>9</v>
      </c>
      <c r="O25" s="4" t="s">
        <v>35</v>
      </c>
      <c r="P25" s="5">
        <v>45592</v>
      </c>
      <c r="Q25">
        <v>16</v>
      </c>
      <c r="R25">
        <v>13</v>
      </c>
      <c r="S25" s="4" t="s">
        <v>38</v>
      </c>
      <c r="T25" s="4" t="s">
        <v>100</v>
      </c>
      <c r="U25" t="str">
        <f t="shared" si="8"/>
        <v>Underweight</v>
      </c>
      <c r="V25" s="4" t="str">
        <f t="shared" si="0"/>
        <v>Adult</v>
      </c>
      <c r="W25" s="4" t="str">
        <f t="shared" si="1"/>
        <v>High Bp</v>
      </c>
      <c r="X25" s="4">
        <f t="shared" si="2"/>
        <v>1</v>
      </c>
      <c r="Y25" s="4">
        <f t="shared" si="3"/>
        <v>0</v>
      </c>
      <c r="Z25" s="4">
        <f t="shared" si="4"/>
        <v>1</v>
      </c>
      <c r="AA25" s="4">
        <f t="shared" si="5"/>
        <v>1</v>
      </c>
      <c r="AB25" s="4">
        <f t="shared" si="6"/>
        <v>1</v>
      </c>
      <c r="AC25" s="4">
        <f>SUM(Table1_2[[#This Row],[bp score]],Table1_2[[#This Row],[bmi score]],Table1_2[[#This Row],[Csmoking score]],Table1_2[[#This Row],[Condition score]],Table1_2[[#This Row],[Cholesterol score]],)</f>
        <v>4</v>
      </c>
      <c r="AD25" s="4" t="str">
        <f t="shared" si="7"/>
        <v>High risk</v>
      </c>
    </row>
    <row r="26" spans="1:30" x14ac:dyDescent="0.35">
      <c r="A26" s="4" t="s">
        <v>855</v>
      </c>
      <c r="B26" s="4" t="s">
        <v>142</v>
      </c>
      <c r="C26">
        <v>50</v>
      </c>
      <c r="D26" s="4" t="s">
        <v>32</v>
      </c>
      <c r="E26" s="4" t="s">
        <v>23</v>
      </c>
      <c r="F26" s="4" t="s">
        <v>57</v>
      </c>
      <c r="G26">
        <v>36.1</v>
      </c>
      <c r="H26">
        <v>166</v>
      </c>
      <c r="I26">
        <v>91</v>
      </c>
      <c r="J26">
        <v>201</v>
      </c>
      <c r="K26">
        <v>140</v>
      </c>
      <c r="L26" s="4" t="s">
        <v>859</v>
      </c>
      <c r="M26">
        <v>1</v>
      </c>
      <c r="N26">
        <v>5</v>
      </c>
      <c r="O26" s="4" t="s">
        <v>35</v>
      </c>
      <c r="P26" s="5">
        <v>45088</v>
      </c>
      <c r="Q26">
        <v>17</v>
      </c>
      <c r="R26">
        <v>2</v>
      </c>
      <c r="S26" s="4" t="s">
        <v>60</v>
      </c>
      <c r="T26" s="4" t="s">
        <v>864</v>
      </c>
      <c r="U26" t="str">
        <f t="shared" si="8"/>
        <v>Obese</v>
      </c>
      <c r="V26" s="4" t="str">
        <f t="shared" si="0"/>
        <v>Elder</v>
      </c>
      <c r="W26" s="4" t="str">
        <f t="shared" si="1"/>
        <v>High Bp</v>
      </c>
      <c r="X26" s="4">
        <f t="shared" si="2"/>
        <v>1</v>
      </c>
      <c r="Y26" s="4">
        <f t="shared" si="3"/>
        <v>1</v>
      </c>
      <c r="Z26" s="4">
        <f t="shared" si="4"/>
        <v>1</v>
      </c>
      <c r="AA26" s="4">
        <f t="shared" si="5"/>
        <v>1</v>
      </c>
      <c r="AB26" s="4">
        <f t="shared" si="6"/>
        <v>1</v>
      </c>
      <c r="AC26" s="4">
        <f>SUM(Table1_2[[#This Row],[bp score]],Table1_2[[#This Row],[bmi score]],Table1_2[[#This Row],[Csmoking score]],Table1_2[[#This Row],[Condition score]],Table1_2[[#This Row],[Cholesterol score]],)</f>
        <v>5</v>
      </c>
      <c r="AD26" s="4" t="str">
        <f t="shared" si="7"/>
        <v>High risk</v>
      </c>
    </row>
    <row r="27" spans="1:30" x14ac:dyDescent="0.35">
      <c r="A27" s="4" t="s">
        <v>144</v>
      </c>
      <c r="B27" s="4" t="s">
        <v>145</v>
      </c>
      <c r="C27">
        <v>31</v>
      </c>
      <c r="D27" s="4" t="s">
        <v>73</v>
      </c>
      <c r="E27" s="4" t="s">
        <v>131</v>
      </c>
      <c r="F27" s="4" t="s">
        <v>82</v>
      </c>
      <c r="G27">
        <v>27.2</v>
      </c>
      <c r="H27">
        <v>169</v>
      </c>
      <c r="I27">
        <v>89</v>
      </c>
      <c r="J27">
        <v>246</v>
      </c>
      <c r="K27">
        <v>85</v>
      </c>
      <c r="L27" s="4" t="s">
        <v>861</v>
      </c>
      <c r="M27">
        <v>6</v>
      </c>
      <c r="N27">
        <v>7</v>
      </c>
      <c r="O27" s="4" t="s">
        <v>25</v>
      </c>
      <c r="P27" s="5">
        <v>45505</v>
      </c>
      <c r="Q27">
        <v>11</v>
      </c>
      <c r="R27">
        <v>9</v>
      </c>
      <c r="S27" s="4" t="s">
        <v>99</v>
      </c>
      <c r="T27" s="4" t="s">
        <v>100</v>
      </c>
      <c r="U27" t="str">
        <f t="shared" si="8"/>
        <v>Overweight</v>
      </c>
      <c r="V27" s="4" t="str">
        <f t="shared" si="0"/>
        <v>Adult</v>
      </c>
      <c r="W27" s="4" t="str">
        <f t="shared" si="1"/>
        <v>High Bp</v>
      </c>
      <c r="X27" s="4">
        <f t="shared" si="2"/>
        <v>1</v>
      </c>
      <c r="Y27" s="4">
        <f t="shared" si="3"/>
        <v>0</v>
      </c>
      <c r="Z27" s="4">
        <f t="shared" si="4"/>
        <v>0</v>
      </c>
      <c r="AA27" s="4">
        <f t="shared" si="5"/>
        <v>1</v>
      </c>
      <c r="AB27" s="4">
        <f t="shared" si="6"/>
        <v>1</v>
      </c>
      <c r="AC27" s="4">
        <f>SUM(Table1_2[[#This Row],[bp score]],Table1_2[[#This Row],[bmi score]],Table1_2[[#This Row],[Csmoking score]],Table1_2[[#This Row],[Condition score]],Table1_2[[#This Row],[Cholesterol score]],)</f>
        <v>3</v>
      </c>
      <c r="AD27" s="4" t="str">
        <f t="shared" si="7"/>
        <v>Medium risk</v>
      </c>
    </row>
    <row r="28" spans="1:30" x14ac:dyDescent="0.35">
      <c r="A28" s="4" t="s">
        <v>147</v>
      </c>
      <c r="B28" s="4" t="s">
        <v>148</v>
      </c>
      <c r="C28">
        <v>60</v>
      </c>
      <c r="D28" s="4" t="s">
        <v>73</v>
      </c>
      <c r="E28" s="4" t="s">
        <v>161</v>
      </c>
      <c r="F28" s="4" t="s">
        <v>52</v>
      </c>
      <c r="G28">
        <v>23.8</v>
      </c>
      <c r="H28">
        <v>162</v>
      </c>
      <c r="I28">
        <v>61</v>
      </c>
      <c r="J28">
        <v>239</v>
      </c>
      <c r="K28">
        <v>156</v>
      </c>
      <c r="L28" s="4" t="s">
        <v>860</v>
      </c>
      <c r="M28">
        <v>2</v>
      </c>
      <c r="N28">
        <v>8</v>
      </c>
      <c r="O28" s="4" t="s">
        <v>25</v>
      </c>
      <c r="P28" s="5">
        <v>44396</v>
      </c>
      <c r="Q28">
        <v>18</v>
      </c>
      <c r="R28">
        <v>0</v>
      </c>
      <c r="S28" s="4" t="s">
        <v>92</v>
      </c>
      <c r="T28" s="4" t="s">
        <v>100</v>
      </c>
      <c r="U28" t="str">
        <f t="shared" si="8"/>
        <v>Normal</v>
      </c>
      <c r="V28" s="4" t="str">
        <f t="shared" si="0"/>
        <v>Aged</v>
      </c>
      <c r="W28" s="4" t="str">
        <f t="shared" si="1"/>
        <v>High Bp</v>
      </c>
      <c r="X28" s="4">
        <f t="shared" si="2"/>
        <v>1</v>
      </c>
      <c r="Y28" s="4">
        <f t="shared" si="3"/>
        <v>0</v>
      </c>
      <c r="Z28" s="4">
        <f t="shared" si="4"/>
        <v>0</v>
      </c>
      <c r="AA28" s="4">
        <f t="shared" si="5"/>
        <v>1</v>
      </c>
      <c r="AB28" s="4">
        <f t="shared" si="6"/>
        <v>1</v>
      </c>
      <c r="AC28" s="4">
        <f>SUM(Table1_2[[#This Row],[bp score]],Table1_2[[#This Row],[bmi score]],Table1_2[[#This Row],[Csmoking score]],Table1_2[[#This Row],[Condition score]],Table1_2[[#This Row],[Cholesterol score]],)</f>
        <v>3</v>
      </c>
      <c r="AD28" s="4" t="str">
        <f t="shared" si="7"/>
        <v>Medium risk</v>
      </c>
    </row>
    <row r="29" spans="1:30" x14ac:dyDescent="0.35">
      <c r="A29" s="4" t="s">
        <v>150</v>
      </c>
      <c r="B29" s="4" t="s">
        <v>151</v>
      </c>
      <c r="C29">
        <v>33</v>
      </c>
      <c r="D29" s="4" t="s">
        <v>32</v>
      </c>
      <c r="E29" s="4" t="s">
        <v>74</v>
      </c>
      <c r="F29" s="4" t="s">
        <v>82</v>
      </c>
      <c r="G29">
        <v>25.2</v>
      </c>
      <c r="H29">
        <v>158</v>
      </c>
      <c r="I29">
        <v>80</v>
      </c>
      <c r="J29">
        <v>226</v>
      </c>
      <c r="K29">
        <v>167</v>
      </c>
      <c r="L29" s="4" t="s">
        <v>859</v>
      </c>
      <c r="M29">
        <v>6</v>
      </c>
      <c r="N29">
        <v>5</v>
      </c>
      <c r="O29" s="4" t="s">
        <v>35</v>
      </c>
      <c r="P29" s="5">
        <v>45315</v>
      </c>
      <c r="Q29">
        <v>17</v>
      </c>
      <c r="R29">
        <v>1</v>
      </c>
      <c r="S29" s="4" t="s">
        <v>78</v>
      </c>
      <c r="T29" s="4" t="s">
        <v>862</v>
      </c>
      <c r="U29" t="str">
        <f t="shared" si="8"/>
        <v>Overweight</v>
      </c>
      <c r="V29" s="4" t="str">
        <f t="shared" si="0"/>
        <v>Adult</v>
      </c>
      <c r="W29" s="4" t="str">
        <f t="shared" si="1"/>
        <v>High Bp</v>
      </c>
      <c r="X29" s="4">
        <f t="shared" si="2"/>
        <v>1</v>
      </c>
      <c r="Y29" s="4">
        <f t="shared" si="3"/>
        <v>0</v>
      </c>
      <c r="Z29" s="4">
        <f t="shared" si="4"/>
        <v>1</v>
      </c>
      <c r="AA29" s="4">
        <f t="shared" si="5"/>
        <v>0</v>
      </c>
      <c r="AB29" s="4">
        <f t="shared" si="6"/>
        <v>1</v>
      </c>
      <c r="AC29" s="4">
        <f>SUM(Table1_2[[#This Row],[bp score]],Table1_2[[#This Row],[bmi score]],Table1_2[[#This Row],[Csmoking score]],Table1_2[[#This Row],[Condition score]],Table1_2[[#This Row],[Cholesterol score]],)</f>
        <v>3</v>
      </c>
      <c r="AD29" s="4" t="str">
        <f t="shared" si="7"/>
        <v>Medium risk</v>
      </c>
    </row>
    <row r="30" spans="1:30" x14ac:dyDescent="0.35">
      <c r="A30" s="4" t="s">
        <v>153</v>
      </c>
      <c r="B30" s="4" t="s">
        <v>154</v>
      </c>
      <c r="C30">
        <v>23</v>
      </c>
      <c r="D30" s="4" t="s">
        <v>73</v>
      </c>
      <c r="E30" s="4" t="s">
        <v>23</v>
      </c>
      <c r="F30" s="4" t="s">
        <v>117</v>
      </c>
      <c r="G30">
        <v>32.5</v>
      </c>
      <c r="H30">
        <v>130</v>
      </c>
      <c r="I30">
        <v>68</v>
      </c>
      <c r="J30">
        <v>261</v>
      </c>
      <c r="K30">
        <v>241</v>
      </c>
      <c r="L30" s="4" t="s">
        <v>860</v>
      </c>
      <c r="M30">
        <v>0</v>
      </c>
      <c r="N30">
        <v>4</v>
      </c>
      <c r="O30" s="4" t="s">
        <v>35</v>
      </c>
      <c r="P30" s="5">
        <v>45083</v>
      </c>
      <c r="Q30">
        <v>19</v>
      </c>
      <c r="R30">
        <v>19</v>
      </c>
      <c r="S30" s="4" t="s">
        <v>92</v>
      </c>
      <c r="T30" s="4" t="s">
        <v>864</v>
      </c>
      <c r="U30" t="str">
        <f t="shared" si="8"/>
        <v>Obese</v>
      </c>
      <c r="V30" s="4" t="str">
        <f t="shared" si="0"/>
        <v>Young adult</v>
      </c>
      <c r="W30" s="4" t="str">
        <f t="shared" si="1"/>
        <v>High Bp</v>
      </c>
      <c r="X30" s="4">
        <f t="shared" si="2"/>
        <v>1</v>
      </c>
      <c r="Y30" s="4">
        <f t="shared" si="3"/>
        <v>1</v>
      </c>
      <c r="Z30" s="4">
        <f t="shared" si="4"/>
        <v>0</v>
      </c>
      <c r="AA30" s="4">
        <f t="shared" si="5"/>
        <v>1</v>
      </c>
      <c r="AB30" s="4">
        <f t="shared" si="6"/>
        <v>1</v>
      </c>
      <c r="AC30" s="4">
        <f>SUM(Table1_2[[#This Row],[bp score]],Table1_2[[#This Row],[bmi score]],Table1_2[[#This Row],[Csmoking score]],Table1_2[[#This Row],[Condition score]],Table1_2[[#This Row],[Cholesterol score]],)</f>
        <v>4</v>
      </c>
      <c r="AD30" s="4" t="str">
        <f t="shared" si="7"/>
        <v>High risk</v>
      </c>
    </row>
    <row r="31" spans="1:30" x14ac:dyDescent="0.35">
      <c r="A31" s="4" t="s">
        <v>156</v>
      </c>
      <c r="B31" s="4" t="s">
        <v>157</v>
      </c>
      <c r="C31">
        <v>59</v>
      </c>
      <c r="D31" s="4" t="s">
        <v>32</v>
      </c>
      <c r="E31" s="4" t="s">
        <v>74</v>
      </c>
      <c r="F31" s="4" t="s">
        <v>66</v>
      </c>
      <c r="G31">
        <v>32</v>
      </c>
      <c r="H31">
        <v>150</v>
      </c>
      <c r="I31">
        <v>105</v>
      </c>
      <c r="J31">
        <v>190</v>
      </c>
      <c r="K31">
        <v>89</v>
      </c>
      <c r="L31" s="4" t="s">
        <v>100</v>
      </c>
      <c r="M31">
        <v>7</v>
      </c>
      <c r="N31">
        <v>4</v>
      </c>
      <c r="O31" s="4" t="s">
        <v>35</v>
      </c>
      <c r="P31" s="5">
        <v>44941</v>
      </c>
      <c r="Q31">
        <v>18</v>
      </c>
      <c r="R31">
        <v>1</v>
      </c>
      <c r="S31" s="4" t="s">
        <v>78</v>
      </c>
      <c r="T31" s="4" t="s">
        <v>100</v>
      </c>
      <c r="U31" t="str">
        <f t="shared" si="8"/>
        <v>Obese</v>
      </c>
      <c r="V31" s="4" t="str">
        <f t="shared" si="0"/>
        <v>Aged</v>
      </c>
      <c r="W31" s="4" t="str">
        <f t="shared" si="1"/>
        <v>High Bp</v>
      </c>
      <c r="X31" s="4">
        <f t="shared" si="2"/>
        <v>1</v>
      </c>
      <c r="Y31" s="4">
        <f t="shared" si="3"/>
        <v>1</v>
      </c>
      <c r="Z31" s="4">
        <f t="shared" si="4"/>
        <v>0</v>
      </c>
      <c r="AA31" s="4">
        <f t="shared" si="5"/>
        <v>0</v>
      </c>
      <c r="AB31" s="4">
        <f t="shared" si="6"/>
        <v>0</v>
      </c>
      <c r="AC31" s="4">
        <f>SUM(Table1_2[[#This Row],[bp score]],Table1_2[[#This Row],[bmi score]],Table1_2[[#This Row],[Csmoking score]],Table1_2[[#This Row],[Condition score]],Table1_2[[#This Row],[Cholesterol score]],)</f>
        <v>2</v>
      </c>
      <c r="AD31" s="4" t="str">
        <f t="shared" si="7"/>
        <v>Medium risk</v>
      </c>
    </row>
    <row r="32" spans="1:30" x14ac:dyDescent="0.35">
      <c r="A32" s="4" t="s">
        <v>159</v>
      </c>
      <c r="B32" s="4" t="s">
        <v>160</v>
      </c>
      <c r="C32">
        <v>26</v>
      </c>
      <c r="D32" s="4" t="s">
        <v>73</v>
      </c>
      <c r="E32" s="4" t="s">
        <v>161</v>
      </c>
      <c r="F32" s="4" t="s">
        <v>82</v>
      </c>
      <c r="G32">
        <v>37.6</v>
      </c>
      <c r="H32">
        <v>113</v>
      </c>
      <c r="I32">
        <v>87</v>
      </c>
      <c r="J32">
        <v>232</v>
      </c>
      <c r="K32">
        <v>232</v>
      </c>
      <c r="L32" s="4" t="s">
        <v>859</v>
      </c>
      <c r="M32">
        <v>2</v>
      </c>
      <c r="N32">
        <v>7</v>
      </c>
      <c r="O32" s="4" t="s">
        <v>25</v>
      </c>
      <c r="P32" s="5">
        <v>45225</v>
      </c>
      <c r="Q32">
        <v>17</v>
      </c>
      <c r="R32">
        <v>15</v>
      </c>
      <c r="S32" s="4" t="s">
        <v>92</v>
      </c>
      <c r="T32" s="4" t="s">
        <v>100</v>
      </c>
      <c r="U32" t="str">
        <f t="shared" si="8"/>
        <v>Obese</v>
      </c>
      <c r="V32" s="4" t="str">
        <f t="shared" si="0"/>
        <v>Young adult</v>
      </c>
      <c r="W32" s="4" t="str">
        <f t="shared" si="1"/>
        <v>High Bp</v>
      </c>
      <c r="X32" s="4">
        <f t="shared" si="2"/>
        <v>1</v>
      </c>
      <c r="Y32" s="4">
        <f t="shared" si="3"/>
        <v>1</v>
      </c>
      <c r="Z32" s="4">
        <f t="shared" si="4"/>
        <v>1</v>
      </c>
      <c r="AA32" s="4">
        <f t="shared" si="5"/>
        <v>1</v>
      </c>
      <c r="AB32" s="4">
        <f t="shared" si="6"/>
        <v>1</v>
      </c>
      <c r="AC32" s="4">
        <f>SUM(Table1_2[[#This Row],[bp score]],Table1_2[[#This Row],[bmi score]],Table1_2[[#This Row],[Csmoking score]],Table1_2[[#This Row],[Condition score]],Table1_2[[#This Row],[Cholesterol score]],)</f>
        <v>5</v>
      </c>
      <c r="AD32" s="4" t="str">
        <f t="shared" si="7"/>
        <v>High risk</v>
      </c>
    </row>
    <row r="33" spans="1:30" x14ac:dyDescent="0.35">
      <c r="A33" s="4" t="s">
        <v>163</v>
      </c>
      <c r="B33" s="4" t="s">
        <v>164</v>
      </c>
      <c r="C33">
        <v>42</v>
      </c>
      <c r="D33" s="4" t="s">
        <v>73</v>
      </c>
      <c r="E33" s="4" t="s">
        <v>131</v>
      </c>
      <c r="F33" s="4" t="s">
        <v>57</v>
      </c>
      <c r="G33">
        <v>39</v>
      </c>
      <c r="H33">
        <v>131</v>
      </c>
      <c r="I33">
        <v>89</v>
      </c>
      <c r="J33">
        <v>237</v>
      </c>
      <c r="K33">
        <v>156</v>
      </c>
      <c r="L33" s="4" t="s">
        <v>859</v>
      </c>
      <c r="M33">
        <v>7</v>
      </c>
      <c r="N33">
        <v>6</v>
      </c>
      <c r="O33" s="4" t="s">
        <v>25</v>
      </c>
      <c r="P33" s="5">
        <v>45394</v>
      </c>
      <c r="Q33">
        <v>8</v>
      </c>
      <c r="R33">
        <v>10</v>
      </c>
      <c r="S33" s="4" t="s">
        <v>78</v>
      </c>
      <c r="T33" s="4" t="s">
        <v>863</v>
      </c>
      <c r="U33" t="str">
        <f t="shared" si="8"/>
        <v>Obese</v>
      </c>
      <c r="V33" s="4" t="str">
        <f t="shared" si="0"/>
        <v>Elder</v>
      </c>
      <c r="W33" s="4" t="str">
        <f t="shared" si="1"/>
        <v>High Bp</v>
      </c>
      <c r="X33" s="4">
        <f t="shared" si="2"/>
        <v>1</v>
      </c>
      <c r="Y33" s="4">
        <f t="shared" si="3"/>
        <v>1</v>
      </c>
      <c r="Z33" s="4">
        <f t="shared" si="4"/>
        <v>1</v>
      </c>
      <c r="AA33" s="4">
        <f t="shared" si="5"/>
        <v>0</v>
      </c>
      <c r="AB33" s="4">
        <f t="shared" si="6"/>
        <v>1</v>
      </c>
      <c r="AC33" s="4">
        <f>SUM(Table1_2[[#This Row],[bp score]],Table1_2[[#This Row],[bmi score]],Table1_2[[#This Row],[Csmoking score]],Table1_2[[#This Row],[Condition score]],Table1_2[[#This Row],[Cholesterol score]],)</f>
        <v>4</v>
      </c>
      <c r="AD33" s="4" t="str">
        <f t="shared" si="7"/>
        <v>High risk</v>
      </c>
    </row>
    <row r="34" spans="1:30" x14ac:dyDescent="0.35">
      <c r="A34" s="4" t="s">
        <v>167</v>
      </c>
      <c r="B34" s="4" t="s">
        <v>168</v>
      </c>
      <c r="C34">
        <v>55</v>
      </c>
      <c r="D34" s="4" t="s">
        <v>73</v>
      </c>
      <c r="E34" s="4" t="s">
        <v>131</v>
      </c>
      <c r="F34" s="4" t="s">
        <v>52</v>
      </c>
      <c r="G34">
        <v>35</v>
      </c>
      <c r="H34">
        <v>162</v>
      </c>
      <c r="I34">
        <v>95</v>
      </c>
      <c r="J34">
        <v>201</v>
      </c>
      <c r="K34">
        <v>246</v>
      </c>
      <c r="L34" s="4" t="s">
        <v>859</v>
      </c>
      <c r="M34">
        <v>7</v>
      </c>
      <c r="N34">
        <v>8</v>
      </c>
      <c r="O34" s="4" t="s">
        <v>35</v>
      </c>
      <c r="P34" s="5">
        <v>44237</v>
      </c>
      <c r="Q34">
        <v>7</v>
      </c>
      <c r="R34">
        <v>12</v>
      </c>
      <c r="S34" s="4" t="s">
        <v>78</v>
      </c>
      <c r="T34" s="4" t="s">
        <v>863</v>
      </c>
      <c r="U34" t="str">
        <f t="shared" si="8"/>
        <v>Obese</v>
      </c>
      <c r="V34" s="4" t="str">
        <f t="shared" si="0"/>
        <v>Aged</v>
      </c>
      <c r="W34" s="4" t="str">
        <f t="shared" si="1"/>
        <v>High Bp</v>
      </c>
      <c r="X34" s="4">
        <f t="shared" si="2"/>
        <v>1</v>
      </c>
      <c r="Y34" s="4">
        <f t="shared" si="3"/>
        <v>1</v>
      </c>
      <c r="Z34" s="4">
        <f t="shared" si="4"/>
        <v>1</v>
      </c>
      <c r="AA34" s="4">
        <f t="shared" si="5"/>
        <v>0</v>
      </c>
      <c r="AB34" s="4">
        <f t="shared" si="6"/>
        <v>1</v>
      </c>
      <c r="AC34" s="4">
        <f>SUM(Table1_2[[#This Row],[bp score]],Table1_2[[#This Row],[bmi score]],Table1_2[[#This Row],[Csmoking score]],Table1_2[[#This Row],[Condition score]],Table1_2[[#This Row],[Cholesterol score]],)</f>
        <v>4</v>
      </c>
      <c r="AD34" s="4" t="str">
        <f t="shared" si="7"/>
        <v>High risk</v>
      </c>
    </row>
    <row r="35" spans="1:30" x14ac:dyDescent="0.35">
      <c r="A35" s="4" t="s">
        <v>170</v>
      </c>
      <c r="B35" s="4" t="s">
        <v>171</v>
      </c>
      <c r="C35">
        <v>52</v>
      </c>
      <c r="D35" s="4" t="s">
        <v>73</v>
      </c>
      <c r="E35" s="4" t="s">
        <v>65</v>
      </c>
      <c r="F35" s="4" t="s">
        <v>75</v>
      </c>
      <c r="G35">
        <v>25.3</v>
      </c>
      <c r="H35">
        <v>158</v>
      </c>
      <c r="I35">
        <v>77</v>
      </c>
      <c r="J35">
        <v>218</v>
      </c>
      <c r="K35">
        <v>134</v>
      </c>
      <c r="L35" s="4" t="s">
        <v>861</v>
      </c>
      <c r="M35">
        <v>1</v>
      </c>
      <c r="N35">
        <v>4</v>
      </c>
      <c r="O35" s="4" t="s">
        <v>35</v>
      </c>
      <c r="P35" s="5">
        <v>44548</v>
      </c>
      <c r="Q35">
        <v>5</v>
      </c>
      <c r="R35">
        <v>6</v>
      </c>
      <c r="S35" s="4" t="s">
        <v>78</v>
      </c>
      <c r="T35" s="4" t="s">
        <v>100</v>
      </c>
      <c r="U35" t="str">
        <f t="shared" si="8"/>
        <v>Overweight</v>
      </c>
      <c r="V35" s="4" t="str">
        <f t="shared" si="0"/>
        <v>Aged</v>
      </c>
      <c r="W35" s="4" t="str">
        <f t="shared" si="1"/>
        <v>High Bp</v>
      </c>
      <c r="X35" s="4">
        <f t="shared" si="2"/>
        <v>1</v>
      </c>
      <c r="Y35" s="4">
        <f t="shared" si="3"/>
        <v>0</v>
      </c>
      <c r="Z35" s="4">
        <f t="shared" si="4"/>
        <v>0</v>
      </c>
      <c r="AA35" s="4">
        <f t="shared" si="5"/>
        <v>0</v>
      </c>
      <c r="AB35" s="4">
        <f t="shared" si="6"/>
        <v>1</v>
      </c>
      <c r="AC35" s="4">
        <f>SUM(Table1_2[[#This Row],[bp score]],Table1_2[[#This Row],[bmi score]],Table1_2[[#This Row],[Csmoking score]],Table1_2[[#This Row],[Condition score]],Table1_2[[#This Row],[Cholesterol score]],)</f>
        <v>2</v>
      </c>
      <c r="AD35" s="4" t="str">
        <f t="shared" si="7"/>
        <v>Medium risk</v>
      </c>
    </row>
    <row r="36" spans="1:30" x14ac:dyDescent="0.35">
      <c r="A36" s="4" t="s">
        <v>173</v>
      </c>
      <c r="B36" s="4" t="s">
        <v>174</v>
      </c>
      <c r="C36">
        <v>55</v>
      </c>
      <c r="D36" s="4" t="s">
        <v>32</v>
      </c>
      <c r="E36" s="4" t="s">
        <v>131</v>
      </c>
      <c r="F36" s="4" t="s">
        <v>52</v>
      </c>
      <c r="G36">
        <v>24.4</v>
      </c>
      <c r="H36">
        <v>146</v>
      </c>
      <c r="I36">
        <v>71</v>
      </c>
      <c r="J36">
        <v>217</v>
      </c>
      <c r="K36">
        <v>73</v>
      </c>
      <c r="L36" s="4" t="s">
        <v>860</v>
      </c>
      <c r="M36">
        <v>2</v>
      </c>
      <c r="N36">
        <v>5</v>
      </c>
      <c r="O36" s="4" t="s">
        <v>25</v>
      </c>
      <c r="P36" s="5">
        <v>44449</v>
      </c>
      <c r="Q36">
        <v>4</v>
      </c>
      <c r="R36">
        <v>20</v>
      </c>
      <c r="S36" s="4" t="s">
        <v>92</v>
      </c>
      <c r="T36" s="4" t="s">
        <v>863</v>
      </c>
      <c r="U36" t="str">
        <f t="shared" si="8"/>
        <v>Normal</v>
      </c>
      <c r="V36" s="4" t="str">
        <f t="shared" si="0"/>
        <v>Aged</v>
      </c>
      <c r="W36" s="4" t="str">
        <f t="shared" si="1"/>
        <v>High Bp</v>
      </c>
      <c r="X36" s="4">
        <f t="shared" si="2"/>
        <v>1</v>
      </c>
      <c r="Y36" s="4">
        <f t="shared" si="3"/>
        <v>0</v>
      </c>
      <c r="Z36" s="4">
        <f t="shared" si="4"/>
        <v>0</v>
      </c>
      <c r="AA36" s="4">
        <f t="shared" si="5"/>
        <v>1</v>
      </c>
      <c r="AB36" s="4">
        <f t="shared" si="6"/>
        <v>1</v>
      </c>
      <c r="AC36" s="4">
        <f>SUM(Table1_2[[#This Row],[bp score]],Table1_2[[#This Row],[bmi score]],Table1_2[[#This Row],[Csmoking score]],Table1_2[[#This Row],[Condition score]],Table1_2[[#This Row],[Cholesterol score]],)</f>
        <v>3</v>
      </c>
      <c r="AD36" s="4" t="str">
        <f t="shared" si="7"/>
        <v>Medium risk</v>
      </c>
    </row>
    <row r="37" spans="1:30" x14ac:dyDescent="0.35">
      <c r="A37" s="4" t="s">
        <v>176</v>
      </c>
      <c r="B37" s="4" t="s">
        <v>177</v>
      </c>
      <c r="C37">
        <v>40</v>
      </c>
      <c r="D37" s="4" t="s">
        <v>73</v>
      </c>
      <c r="E37" s="4" t="s">
        <v>161</v>
      </c>
      <c r="F37" s="4" t="s">
        <v>90</v>
      </c>
      <c r="G37">
        <v>25.5</v>
      </c>
      <c r="H37">
        <v>106</v>
      </c>
      <c r="I37">
        <v>76</v>
      </c>
      <c r="J37">
        <v>262</v>
      </c>
      <c r="K37">
        <v>99</v>
      </c>
      <c r="L37" s="4" t="s">
        <v>860</v>
      </c>
      <c r="M37">
        <v>6</v>
      </c>
      <c r="N37">
        <v>8</v>
      </c>
      <c r="O37" s="4" t="s">
        <v>35</v>
      </c>
      <c r="P37" s="5">
        <v>44260</v>
      </c>
      <c r="Q37">
        <v>18</v>
      </c>
      <c r="R37">
        <v>9</v>
      </c>
      <c r="S37" s="4" t="s">
        <v>92</v>
      </c>
      <c r="T37" s="4" t="s">
        <v>862</v>
      </c>
      <c r="U37" t="str">
        <f t="shared" si="8"/>
        <v>Overweight</v>
      </c>
      <c r="V37" s="4" t="str">
        <f t="shared" si="0"/>
        <v>Adult</v>
      </c>
      <c r="W37" s="4" t="str">
        <f t="shared" si="1"/>
        <v>Normal</v>
      </c>
      <c r="X37" s="4">
        <f t="shared" si="2"/>
        <v>0</v>
      </c>
      <c r="Y37" s="4">
        <f t="shared" si="3"/>
        <v>0</v>
      </c>
      <c r="Z37" s="4">
        <f t="shared" si="4"/>
        <v>0</v>
      </c>
      <c r="AA37" s="4">
        <f t="shared" si="5"/>
        <v>1</v>
      </c>
      <c r="AB37" s="4">
        <f t="shared" si="6"/>
        <v>1</v>
      </c>
      <c r="AC37" s="4">
        <f>SUM(Table1_2[[#This Row],[bp score]],Table1_2[[#This Row],[bmi score]],Table1_2[[#This Row],[Csmoking score]],Table1_2[[#This Row],[Condition score]],Table1_2[[#This Row],[Cholesterol score]],)</f>
        <v>2</v>
      </c>
      <c r="AD37" s="4" t="str">
        <f t="shared" si="7"/>
        <v>Medium risk</v>
      </c>
    </row>
    <row r="38" spans="1:30" x14ac:dyDescent="0.35">
      <c r="A38" s="4" t="s">
        <v>179</v>
      </c>
      <c r="B38" s="4" t="s">
        <v>180</v>
      </c>
      <c r="C38">
        <v>48</v>
      </c>
      <c r="D38" s="4" t="s">
        <v>73</v>
      </c>
      <c r="E38" s="4" t="s">
        <v>131</v>
      </c>
      <c r="F38" s="4" t="s">
        <v>82</v>
      </c>
      <c r="G38">
        <v>28.3</v>
      </c>
      <c r="H38">
        <v>156</v>
      </c>
      <c r="I38">
        <v>79</v>
      </c>
      <c r="J38">
        <v>249</v>
      </c>
      <c r="K38">
        <v>148</v>
      </c>
      <c r="L38" s="4" t="s">
        <v>100</v>
      </c>
      <c r="M38">
        <v>0</v>
      </c>
      <c r="N38">
        <v>1</v>
      </c>
      <c r="O38" s="4" t="s">
        <v>35</v>
      </c>
      <c r="P38" s="5">
        <v>44872</v>
      </c>
      <c r="Q38">
        <v>8</v>
      </c>
      <c r="R38">
        <v>2</v>
      </c>
      <c r="S38" s="4" t="s">
        <v>60</v>
      </c>
      <c r="T38" s="4" t="s">
        <v>862</v>
      </c>
      <c r="U38" t="str">
        <f t="shared" si="8"/>
        <v>Overweight</v>
      </c>
      <c r="V38" s="4" t="str">
        <f t="shared" si="0"/>
        <v>Elder</v>
      </c>
      <c r="W38" s="4" t="str">
        <f t="shared" si="1"/>
        <v>High Bp</v>
      </c>
      <c r="X38" s="4">
        <f t="shared" si="2"/>
        <v>1</v>
      </c>
      <c r="Y38" s="4">
        <f t="shared" si="3"/>
        <v>0</v>
      </c>
      <c r="Z38" s="4">
        <f t="shared" si="4"/>
        <v>0</v>
      </c>
      <c r="AA38" s="4">
        <f t="shared" si="5"/>
        <v>1</v>
      </c>
      <c r="AB38" s="4">
        <f t="shared" si="6"/>
        <v>1</v>
      </c>
      <c r="AC38" s="4">
        <f>SUM(Table1_2[[#This Row],[bp score]],Table1_2[[#This Row],[bmi score]],Table1_2[[#This Row],[Csmoking score]],Table1_2[[#This Row],[Condition score]],Table1_2[[#This Row],[Cholesterol score]],)</f>
        <v>3</v>
      </c>
      <c r="AD38" s="4" t="str">
        <f t="shared" si="7"/>
        <v>Medium risk</v>
      </c>
    </row>
    <row r="39" spans="1:30" x14ac:dyDescent="0.35">
      <c r="A39" s="4" t="s">
        <v>182</v>
      </c>
      <c r="B39" s="4" t="s">
        <v>183</v>
      </c>
      <c r="C39">
        <v>26</v>
      </c>
      <c r="D39" s="4" t="s">
        <v>32</v>
      </c>
      <c r="E39" s="4" t="s">
        <v>161</v>
      </c>
      <c r="F39" s="4" t="s">
        <v>82</v>
      </c>
      <c r="G39">
        <v>28.3</v>
      </c>
      <c r="H39">
        <v>160</v>
      </c>
      <c r="I39">
        <v>78</v>
      </c>
      <c r="J39">
        <v>148</v>
      </c>
      <c r="K39">
        <v>129</v>
      </c>
      <c r="L39" s="4" t="s">
        <v>859</v>
      </c>
      <c r="M39">
        <v>4</v>
      </c>
      <c r="N39">
        <v>8</v>
      </c>
      <c r="O39" s="4" t="s">
        <v>35</v>
      </c>
      <c r="P39" s="5">
        <v>44707</v>
      </c>
      <c r="Q39">
        <v>20</v>
      </c>
      <c r="R39">
        <v>18</v>
      </c>
      <c r="S39" s="4" t="s">
        <v>78</v>
      </c>
      <c r="T39" s="4" t="s">
        <v>862</v>
      </c>
      <c r="U39" t="str">
        <f t="shared" si="8"/>
        <v>Overweight</v>
      </c>
      <c r="V39" s="4" t="str">
        <f t="shared" si="0"/>
        <v>Young adult</v>
      </c>
      <c r="W39" s="4" t="str">
        <f t="shared" si="1"/>
        <v>High Bp</v>
      </c>
      <c r="X39" s="4">
        <f t="shared" si="2"/>
        <v>1</v>
      </c>
      <c r="Y39" s="4">
        <f t="shared" si="3"/>
        <v>0</v>
      </c>
      <c r="Z39" s="4">
        <f t="shared" si="4"/>
        <v>1</v>
      </c>
      <c r="AA39" s="4">
        <f t="shared" si="5"/>
        <v>0</v>
      </c>
      <c r="AB39" s="4">
        <f t="shared" si="6"/>
        <v>0</v>
      </c>
      <c r="AC39" s="4">
        <f>SUM(Table1_2[[#This Row],[bp score]],Table1_2[[#This Row],[bmi score]],Table1_2[[#This Row],[Csmoking score]],Table1_2[[#This Row],[Condition score]],Table1_2[[#This Row],[Cholesterol score]],)</f>
        <v>2</v>
      </c>
      <c r="AD39" s="4" t="str">
        <f t="shared" si="7"/>
        <v>Medium risk</v>
      </c>
    </row>
    <row r="40" spans="1:30" x14ac:dyDescent="0.35">
      <c r="A40" s="4" t="s">
        <v>185</v>
      </c>
      <c r="B40" s="4" t="s">
        <v>186</v>
      </c>
      <c r="C40">
        <v>56</v>
      </c>
      <c r="D40" s="4" t="s">
        <v>73</v>
      </c>
      <c r="E40" s="4" t="s">
        <v>33</v>
      </c>
      <c r="F40" s="4" t="s">
        <v>57</v>
      </c>
      <c r="G40">
        <v>37.700000000000003</v>
      </c>
      <c r="H40">
        <v>109</v>
      </c>
      <c r="I40">
        <v>63</v>
      </c>
      <c r="J40">
        <v>182</v>
      </c>
      <c r="K40">
        <v>148</v>
      </c>
      <c r="L40" s="4" t="s">
        <v>100</v>
      </c>
      <c r="M40">
        <v>0</v>
      </c>
      <c r="N40">
        <v>5</v>
      </c>
      <c r="O40" s="4" t="s">
        <v>35</v>
      </c>
      <c r="P40" s="5">
        <v>44431</v>
      </c>
      <c r="Q40">
        <v>9</v>
      </c>
      <c r="R40">
        <v>12</v>
      </c>
      <c r="S40" s="4" t="s">
        <v>78</v>
      </c>
      <c r="T40" s="4" t="s">
        <v>100</v>
      </c>
      <c r="U40" t="str">
        <f t="shared" si="8"/>
        <v>Obese</v>
      </c>
      <c r="V40" s="4" t="str">
        <f t="shared" si="0"/>
        <v>Aged</v>
      </c>
      <c r="W40" s="4" t="str">
        <f t="shared" si="1"/>
        <v>Normal</v>
      </c>
      <c r="X40" s="4">
        <f t="shared" si="2"/>
        <v>0</v>
      </c>
      <c r="Y40" s="4">
        <f t="shared" si="3"/>
        <v>1</v>
      </c>
      <c r="Z40" s="4">
        <f t="shared" si="4"/>
        <v>0</v>
      </c>
      <c r="AA40" s="4">
        <f t="shared" si="5"/>
        <v>0</v>
      </c>
      <c r="AB40" s="4">
        <f t="shared" si="6"/>
        <v>0</v>
      </c>
      <c r="AC40" s="4">
        <f>SUM(Table1_2[[#This Row],[bp score]],Table1_2[[#This Row],[bmi score]],Table1_2[[#This Row],[Csmoking score]],Table1_2[[#This Row],[Condition score]],Table1_2[[#This Row],[Cholesterol score]],)</f>
        <v>1</v>
      </c>
      <c r="AD40" s="4" t="str">
        <f t="shared" si="7"/>
        <v>Low risk</v>
      </c>
    </row>
    <row r="41" spans="1:30" x14ac:dyDescent="0.35">
      <c r="A41" s="4" t="s">
        <v>188</v>
      </c>
      <c r="B41" s="4" t="s">
        <v>189</v>
      </c>
      <c r="C41">
        <v>50</v>
      </c>
      <c r="D41" s="4" t="s">
        <v>73</v>
      </c>
      <c r="E41" s="4" t="s">
        <v>33</v>
      </c>
      <c r="F41" s="4" t="s">
        <v>117</v>
      </c>
      <c r="G41">
        <v>39.200000000000003</v>
      </c>
      <c r="H41">
        <v>134</v>
      </c>
      <c r="I41">
        <v>98</v>
      </c>
      <c r="J41">
        <v>204</v>
      </c>
      <c r="K41">
        <v>76</v>
      </c>
      <c r="L41" s="4" t="s">
        <v>860</v>
      </c>
      <c r="M41">
        <v>3</v>
      </c>
      <c r="N41">
        <v>10</v>
      </c>
      <c r="O41" s="4" t="s">
        <v>25</v>
      </c>
      <c r="P41" s="5">
        <v>45201</v>
      </c>
      <c r="Q41">
        <v>5</v>
      </c>
      <c r="R41">
        <v>15</v>
      </c>
      <c r="S41" s="4" t="s">
        <v>38</v>
      </c>
      <c r="T41" s="4" t="s">
        <v>100</v>
      </c>
      <c r="U41" t="str">
        <f t="shared" si="8"/>
        <v>Obese</v>
      </c>
      <c r="V41" s="4" t="str">
        <f t="shared" si="0"/>
        <v>Elder</v>
      </c>
      <c r="W41" s="4" t="str">
        <f t="shared" si="1"/>
        <v>High Bp</v>
      </c>
      <c r="X41" s="4">
        <f t="shared" si="2"/>
        <v>1</v>
      </c>
      <c r="Y41" s="4">
        <f t="shared" si="3"/>
        <v>1</v>
      </c>
      <c r="Z41" s="4">
        <f t="shared" si="4"/>
        <v>0</v>
      </c>
      <c r="AA41" s="4">
        <f t="shared" si="5"/>
        <v>1</v>
      </c>
      <c r="AB41" s="4">
        <f t="shared" si="6"/>
        <v>1</v>
      </c>
      <c r="AC41" s="4">
        <f>SUM(Table1_2[[#This Row],[bp score]],Table1_2[[#This Row],[bmi score]],Table1_2[[#This Row],[Csmoking score]],Table1_2[[#This Row],[Condition score]],Table1_2[[#This Row],[Cholesterol score]],)</f>
        <v>4</v>
      </c>
      <c r="AD41" s="4" t="str">
        <f t="shared" si="7"/>
        <v>High risk</v>
      </c>
    </row>
    <row r="42" spans="1:30" x14ac:dyDescent="0.35">
      <c r="A42" s="4" t="s">
        <v>191</v>
      </c>
      <c r="B42" s="4" t="s">
        <v>192</v>
      </c>
      <c r="C42">
        <v>59</v>
      </c>
      <c r="D42" s="4" t="s">
        <v>32</v>
      </c>
      <c r="E42" s="4" t="s">
        <v>161</v>
      </c>
      <c r="F42" s="4" t="s">
        <v>82</v>
      </c>
      <c r="G42">
        <v>28.8</v>
      </c>
      <c r="H42">
        <v>152</v>
      </c>
      <c r="I42">
        <v>81</v>
      </c>
      <c r="J42">
        <v>222</v>
      </c>
      <c r="K42">
        <v>241</v>
      </c>
      <c r="L42" s="4" t="s">
        <v>860</v>
      </c>
      <c r="M42">
        <v>2</v>
      </c>
      <c r="N42">
        <v>6</v>
      </c>
      <c r="O42" s="4" t="s">
        <v>25</v>
      </c>
      <c r="P42" s="5">
        <v>45434</v>
      </c>
      <c r="Q42">
        <v>12</v>
      </c>
      <c r="R42">
        <v>17</v>
      </c>
      <c r="S42" s="4" t="s">
        <v>99</v>
      </c>
      <c r="T42" s="4" t="s">
        <v>100</v>
      </c>
      <c r="U42" t="str">
        <f t="shared" si="8"/>
        <v>Overweight</v>
      </c>
      <c r="V42" s="4" t="str">
        <f t="shared" si="0"/>
        <v>Aged</v>
      </c>
      <c r="W42" s="4" t="str">
        <f t="shared" si="1"/>
        <v>High Bp</v>
      </c>
      <c r="X42" s="4">
        <f t="shared" si="2"/>
        <v>1</v>
      </c>
      <c r="Y42" s="4">
        <f t="shared" si="3"/>
        <v>0</v>
      </c>
      <c r="Z42" s="4">
        <f t="shared" si="4"/>
        <v>0</v>
      </c>
      <c r="AA42" s="4">
        <f t="shared" si="5"/>
        <v>1</v>
      </c>
      <c r="AB42" s="4">
        <f t="shared" si="6"/>
        <v>1</v>
      </c>
      <c r="AC42" s="4">
        <f>SUM(Table1_2[[#This Row],[bp score]],Table1_2[[#This Row],[bmi score]],Table1_2[[#This Row],[Csmoking score]],Table1_2[[#This Row],[Condition score]],Table1_2[[#This Row],[Cholesterol score]],)</f>
        <v>3</v>
      </c>
      <c r="AD42" s="4" t="str">
        <f t="shared" si="7"/>
        <v>Medium risk</v>
      </c>
    </row>
    <row r="43" spans="1:30" x14ac:dyDescent="0.35">
      <c r="A43" s="4" t="s">
        <v>194</v>
      </c>
      <c r="B43" s="4" t="s">
        <v>130</v>
      </c>
      <c r="C43">
        <v>38</v>
      </c>
      <c r="D43" s="4" t="s">
        <v>73</v>
      </c>
      <c r="E43" s="4" t="s">
        <v>131</v>
      </c>
      <c r="F43" s="4" t="s">
        <v>82</v>
      </c>
      <c r="G43">
        <v>38.6</v>
      </c>
      <c r="H43">
        <v>100</v>
      </c>
      <c r="I43">
        <v>102</v>
      </c>
      <c r="J43">
        <v>278</v>
      </c>
      <c r="K43">
        <v>188</v>
      </c>
      <c r="L43" s="4" t="s">
        <v>860</v>
      </c>
      <c r="M43">
        <v>0</v>
      </c>
      <c r="N43">
        <v>4</v>
      </c>
      <c r="O43" s="4" t="s">
        <v>35</v>
      </c>
      <c r="P43" s="5">
        <v>45611</v>
      </c>
      <c r="Q43">
        <v>1</v>
      </c>
      <c r="R43">
        <v>6</v>
      </c>
      <c r="S43" s="4" t="s">
        <v>78</v>
      </c>
      <c r="T43" s="4" t="s">
        <v>100</v>
      </c>
      <c r="U43" t="str">
        <f t="shared" si="8"/>
        <v>Obese</v>
      </c>
      <c r="V43" s="4" t="str">
        <f t="shared" si="0"/>
        <v>Adult</v>
      </c>
      <c r="W43" s="4" t="str">
        <f t="shared" si="1"/>
        <v>High Bp</v>
      </c>
      <c r="X43" s="4">
        <f t="shared" si="2"/>
        <v>1</v>
      </c>
      <c r="Y43" s="4">
        <f t="shared" si="3"/>
        <v>1</v>
      </c>
      <c r="Z43" s="4">
        <f t="shared" si="4"/>
        <v>0</v>
      </c>
      <c r="AA43" s="4">
        <f t="shared" si="5"/>
        <v>0</v>
      </c>
      <c r="AB43" s="4">
        <f t="shared" si="6"/>
        <v>1</v>
      </c>
      <c r="AC43" s="4">
        <f>SUM(Table1_2[[#This Row],[bp score]],Table1_2[[#This Row],[bmi score]],Table1_2[[#This Row],[Csmoking score]],Table1_2[[#This Row],[Condition score]],Table1_2[[#This Row],[Cholesterol score]],)</f>
        <v>3</v>
      </c>
      <c r="AD43" s="4" t="str">
        <f t="shared" si="7"/>
        <v>Medium risk</v>
      </c>
    </row>
    <row r="44" spans="1:30" x14ac:dyDescent="0.35">
      <c r="A44" s="4" t="s">
        <v>196</v>
      </c>
      <c r="B44" s="4" t="s">
        <v>197</v>
      </c>
      <c r="C44">
        <v>50</v>
      </c>
      <c r="D44" s="4" t="s">
        <v>73</v>
      </c>
      <c r="E44" s="4" t="s">
        <v>131</v>
      </c>
      <c r="F44" s="4" t="s">
        <v>117</v>
      </c>
      <c r="G44">
        <v>41.3</v>
      </c>
      <c r="H44">
        <v>130</v>
      </c>
      <c r="I44">
        <v>105</v>
      </c>
      <c r="J44">
        <v>180</v>
      </c>
      <c r="K44">
        <v>149</v>
      </c>
      <c r="L44" s="4" t="s">
        <v>860</v>
      </c>
      <c r="M44">
        <v>0</v>
      </c>
      <c r="N44">
        <v>9</v>
      </c>
      <c r="O44" s="4" t="s">
        <v>25</v>
      </c>
      <c r="P44" s="5">
        <v>44313</v>
      </c>
      <c r="Q44">
        <v>3</v>
      </c>
      <c r="R44">
        <v>14</v>
      </c>
      <c r="S44" s="4" t="s">
        <v>92</v>
      </c>
      <c r="T44" s="4" t="s">
        <v>864</v>
      </c>
      <c r="U44" t="str">
        <f t="shared" si="8"/>
        <v>Obese</v>
      </c>
      <c r="V44" s="4" t="str">
        <f t="shared" si="0"/>
        <v>Elder</v>
      </c>
      <c r="W44" s="4" t="str">
        <f t="shared" si="1"/>
        <v>High Bp</v>
      </c>
      <c r="X44" s="4">
        <f t="shared" si="2"/>
        <v>1</v>
      </c>
      <c r="Y44" s="4">
        <f t="shared" si="3"/>
        <v>1</v>
      </c>
      <c r="Z44" s="4">
        <f t="shared" si="4"/>
        <v>0</v>
      </c>
      <c r="AA44" s="4">
        <f t="shared" si="5"/>
        <v>1</v>
      </c>
      <c r="AB44" s="4">
        <f t="shared" si="6"/>
        <v>0</v>
      </c>
      <c r="AC44" s="4">
        <f>SUM(Table1_2[[#This Row],[bp score]],Table1_2[[#This Row],[bmi score]],Table1_2[[#This Row],[Csmoking score]],Table1_2[[#This Row],[Condition score]],Table1_2[[#This Row],[Cholesterol score]],)</f>
        <v>3</v>
      </c>
      <c r="AD44" s="4" t="str">
        <f t="shared" si="7"/>
        <v>Medium risk</v>
      </c>
    </row>
    <row r="45" spans="1:30" x14ac:dyDescent="0.35">
      <c r="A45" s="4" t="s">
        <v>199</v>
      </c>
      <c r="B45" s="4" t="s">
        <v>200</v>
      </c>
      <c r="C45">
        <v>54</v>
      </c>
      <c r="D45" s="4" t="s">
        <v>32</v>
      </c>
      <c r="E45" s="4" t="s">
        <v>65</v>
      </c>
      <c r="F45" s="4" t="s">
        <v>90</v>
      </c>
      <c r="G45">
        <v>41.5</v>
      </c>
      <c r="H45">
        <v>131</v>
      </c>
      <c r="I45">
        <v>89</v>
      </c>
      <c r="J45">
        <v>177</v>
      </c>
      <c r="K45">
        <v>168</v>
      </c>
      <c r="L45" s="4" t="s">
        <v>861</v>
      </c>
      <c r="M45">
        <v>0</v>
      </c>
      <c r="N45">
        <v>9</v>
      </c>
      <c r="O45" s="4" t="s">
        <v>25</v>
      </c>
      <c r="P45" s="5">
        <v>44341</v>
      </c>
      <c r="Q45">
        <v>13</v>
      </c>
      <c r="R45">
        <v>10</v>
      </c>
      <c r="S45" s="4" t="s">
        <v>38</v>
      </c>
      <c r="T45" s="4" t="s">
        <v>863</v>
      </c>
      <c r="U45" t="str">
        <f t="shared" si="8"/>
        <v>Obese</v>
      </c>
      <c r="V45" s="4" t="str">
        <f t="shared" si="0"/>
        <v>Aged</v>
      </c>
      <c r="W45" s="4" t="str">
        <f t="shared" si="1"/>
        <v>High Bp</v>
      </c>
      <c r="X45" s="4">
        <f t="shared" si="2"/>
        <v>1</v>
      </c>
      <c r="Y45" s="4">
        <f t="shared" si="3"/>
        <v>1</v>
      </c>
      <c r="Z45" s="4">
        <f t="shared" si="4"/>
        <v>0</v>
      </c>
      <c r="AA45" s="4">
        <f t="shared" si="5"/>
        <v>1</v>
      </c>
      <c r="AB45" s="4">
        <f t="shared" si="6"/>
        <v>0</v>
      </c>
      <c r="AC45" s="4">
        <f>SUM(Table1_2[[#This Row],[bp score]],Table1_2[[#This Row],[bmi score]],Table1_2[[#This Row],[Csmoking score]],Table1_2[[#This Row],[Condition score]],Table1_2[[#This Row],[Cholesterol score]],)</f>
        <v>3</v>
      </c>
      <c r="AD45" s="4" t="str">
        <f t="shared" si="7"/>
        <v>Medium risk</v>
      </c>
    </row>
    <row r="46" spans="1:30" x14ac:dyDescent="0.35">
      <c r="A46" s="4" t="s">
        <v>202</v>
      </c>
      <c r="B46" s="4" t="s">
        <v>203</v>
      </c>
      <c r="C46">
        <v>41</v>
      </c>
      <c r="D46" s="4" t="s">
        <v>73</v>
      </c>
      <c r="E46" s="4" t="s">
        <v>33</v>
      </c>
      <c r="F46" s="4" t="s">
        <v>90</v>
      </c>
      <c r="G46">
        <v>30.5</v>
      </c>
      <c r="H46">
        <v>144</v>
      </c>
      <c r="I46">
        <v>81</v>
      </c>
      <c r="J46">
        <v>279</v>
      </c>
      <c r="K46">
        <v>166</v>
      </c>
      <c r="L46" s="4" t="s">
        <v>859</v>
      </c>
      <c r="M46">
        <v>5</v>
      </c>
      <c r="N46">
        <v>0</v>
      </c>
      <c r="O46" s="4" t="s">
        <v>35</v>
      </c>
      <c r="P46" s="5">
        <v>45410</v>
      </c>
      <c r="Q46">
        <v>13</v>
      </c>
      <c r="R46">
        <v>1</v>
      </c>
      <c r="S46" s="4" t="s">
        <v>78</v>
      </c>
      <c r="T46" s="4" t="s">
        <v>100</v>
      </c>
      <c r="U46" t="str">
        <f t="shared" si="8"/>
        <v>Obese</v>
      </c>
      <c r="V46" s="4" t="str">
        <f t="shared" si="0"/>
        <v>Elder</v>
      </c>
      <c r="W46" s="4" t="str">
        <f t="shared" si="1"/>
        <v>High Bp</v>
      </c>
      <c r="X46" s="4">
        <f t="shared" si="2"/>
        <v>1</v>
      </c>
      <c r="Y46" s="4">
        <f t="shared" si="3"/>
        <v>1</v>
      </c>
      <c r="Z46" s="4">
        <f t="shared" si="4"/>
        <v>1</v>
      </c>
      <c r="AA46" s="4">
        <f t="shared" si="5"/>
        <v>0</v>
      </c>
      <c r="AB46" s="4">
        <f t="shared" si="6"/>
        <v>1</v>
      </c>
      <c r="AC46" s="4">
        <f>SUM(Table1_2[[#This Row],[bp score]],Table1_2[[#This Row],[bmi score]],Table1_2[[#This Row],[Csmoking score]],Table1_2[[#This Row],[Condition score]],Table1_2[[#This Row],[Cholesterol score]],)</f>
        <v>4</v>
      </c>
      <c r="AD46" s="4" t="str">
        <f t="shared" si="7"/>
        <v>High risk</v>
      </c>
    </row>
    <row r="47" spans="1:30" x14ac:dyDescent="0.35">
      <c r="A47" s="4" t="s">
        <v>205</v>
      </c>
      <c r="B47" s="4" t="s">
        <v>206</v>
      </c>
      <c r="C47">
        <v>31</v>
      </c>
      <c r="D47" s="4" t="s">
        <v>73</v>
      </c>
      <c r="E47" s="4" t="s">
        <v>161</v>
      </c>
      <c r="F47" s="4" t="s">
        <v>24</v>
      </c>
      <c r="G47">
        <v>29.6</v>
      </c>
      <c r="H47">
        <v>142</v>
      </c>
      <c r="I47">
        <v>66</v>
      </c>
      <c r="J47">
        <v>252</v>
      </c>
      <c r="K47">
        <v>95</v>
      </c>
      <c r="L47" s="4" t="s">
        <v>860</v>
      </c>
      <c r="M47">
        <v>7</v>
      </c>
      <c r="N47">
        <v>1</v>
      </c>
      <c r="O47" s="4" t="s">
        <v>25</v>
      </c>
      <c r="P47" s="5">
        <v>45601</v>
      </c>
      <c r="Q47">
        <v>2</v>
      </c>
      <c r="R47">
        <v>15</v>
      </c>
      <c r="S47" s="4" t="s">
        <v>78</v>
      </c>
      <c r="T47" s="4" t="s">
        <v>864</v>
      </c>
      <c r="U47" t="str">
        <f t="shared" si="8"/>
        <v>Overweight</v>
      </c>
      <c r="V47" s="4" t="str">
        <f t="shared" si="0"/>
        <v>Adult</v>
      </c>
      <c r="W47" s="4" t="str">
        <f t="shared" si="1"/>
        <v>High Bp</v>
      </c>
      <c r="X47" s="4">
        <f t="shared" si="2"/>
        <v>1</v>
      </c>
      <c r="Y47" s="4">
        <f t="shared" si="3"/>
        <v>0</v>
      </c>
      <c r="Z47" s="4">
        <f t="shared" si="4"/>
        <v>0</v>
      </c>
      <c r="AA47" s="4">
        <f t="shared" si="5"/>
        <v>0</v>
      </c>
      <c r="AB47" s="4">
        <f t="shared" si="6"/>
        <v>1</v>
      </c>
      <c r="AC47" s="4">
        <f>SUM(Table1_2[[#This Row],[bp score]],Table1_2[[#This Row],[bmi score]],Table1_2[[#This Row],[Csmoking score]],Table1_2[[#This Row],[Condition score]],Table1_2[[#This Row],[Cholesterol score]],)</f>
        <v>2</v>
      </c>
      <c r="AD47" s="4" t="str">
        <f t="shared" si="7"/>
        <v>Medium risk</v>
      </c>
    </row>
    <row r="48" spans="1:30" x14ac:dyDescent="0.35">
      <c r="A48" s="4" t="s">
        <v>208</v>
      </c>
      <c r="B48" s="4" t="s">
        <v>209</v>
      </c>
      <c r="C48">
        <v>27</v>
      </c>
      <c r="D48" s="4" t="s">
        <v>73</v>
      </c>
      <c r="E48" s="4" t="s">
        <v>131</v>
      </c>
      <c r="F48" s="4" t="s">
        <v>82</v>
      </c>
      <c r="G48">
        <v>40.9</v>
      </c>
      <c r="H48">
        <v>162</v>
      </c>
      <c r="I48">
        <v>94</v>
      </c>
      <c r="J48">
        <v>149</v>
      </c>
      <c r="K48">
        <v>228</v>
      </c>
      <c r="L48" s="4" t="s">
        <v>860</v>
      </c>
      <c r="M48">
        <v>3</v>
      </c>
      <c r="N48">
        <v>5</v>
      </c>
      <c r="O48" s="4" t="s">
        <v>35</v>
      </c>
      <c r="P48" s="5">
        <v>44381</v>
      </c>
      <c r="Q48">
        <v>20</v>
      </c>
      <c r="R48">
        <v>3</v>
      </c>
      <c r="S48" s="4" t="s">
        <v>92</v>
      </c>
      <c r="T48" s="4" t="s">
        <v>864</v>
      </c>
      <c r="U48" t="str">
        <f t="shared" si="8"/>
        <v>Obese</v>
      </c>
      <c r="V48" s="4" t="str">
        <f t="shared" si="0"/>
        <v>Young adult</v>
      </c>
      <c r="W48" s="4" t="str">
        <f t="shared" si="1"/>
        <v>High Bp</v>
      </c>
      <c r="X48" s="4">
        <f t="shared" si="2"/>
        <v>1</v>
      </c>
      <c r="Y48" s="4">
        <f t="shared" si="3"/>
        <v>1</v>
      </c>
      <c r="Z48" s="4">
        <f t="shared" si="4"/>
        <v>0</v>
      </c>
      <c r="AA48" s="4">
        <f t="shared" si="5"/>
        <v>1</v>
      </c>
      <c r="AB48" s="4">
        <f t="shared" si="6"/>
        <v>0</v>
      </c>
      <c r="AC48" s="4">
        <f>SUM(Table1_2[[#This Row],[bp score]],Table1_2[[#This Row],[bmi score]],Table1_2[[#This Row],[Csmoking score]],Table1_2[[#This Row],[Condition score]],Table1_2[[#This Row],[Cholesterol score]],)</f>
        <v>3</v>
      </c>
      <c r="AD48" s="4" t="str">
        <f t="shared" si="7"/>
        <v>Medium risk</v>
      </c>
    </row>
    <row r="49" spans="1:30" x14ac:dyDescent="0.35">
      <c r="A49" s="4" t="s">
        <v>211</v>
      </c>
      <c r="B49" s="4" t="s">
        <v>212</v>
      </c>
      <c r="C49">
        <v>24</v>
      </c>
      <c r="D49" s="4" t="s">
        <v>73</v>
      </c>
      <c r="E49" s="4" t="s">
        <v>161</v>
      </c>
      <c r="F49" s="4" t="s">
        <v>57</v>
      </c>
      <c r="G49">
        <v>26</v>
      </c>
      <c r="H49">
        <v>155</v>
      </c>
      <c r="I49">
        <v>69</v>
      </c>
      <c r="J49">
        <v>202</v>
      </c>
      <c r="K49">
        <v>205</v>
      </c>
      <c r="L49" s="4" t="s">
        <v>860</v>
      </c>
      <c r="M49">
        <v>0</v>
      </c>
      <c r="N49">
        <v>3</v>
      </c>
      <c r="O49" s="4" t="s">
        <v>25</v>
      </c>
      <c r="P49" s="5">
        <v>44612</v>
      </c>
      <c r="Q49">
        <v>12</v>
      </c>
      <c r="R49">
        <v>19</v>
      </c>
      <c r="S49" s="4" t="s">
        <v>78</v>
      </c>
      <c r="T49" s="4" t="s">
        <v>862</v>
      </c>
      <c r="U49" t="str">
        <f t="shared" si="8"/>
        <v>Overweight</v>
      </c>
      <c r="V49" s="4" t="str">
        <f t="shared" si="0"/>
        <v>Young adult</v>
      </c>
      <c r="W49" s="4" t="str">
        <f t="shared" si="1"/>
        <v>High Bp</v>
      </c>
      <c r="X49" s="4">
        <f t="shared" si="2"/>
        <v>1</v>
      </c>
      <c r="Y49" s="4">
        <f t="shared" si="3"/>
        <v>0</v>
      </c>
      <c r="Z49" s="4">
        <f t="shared" si="4"/>
        <v>0</v>
      </c>
      <c r="AA49" s="4">
        <f t="shared" si="5"/>
        <v>0</v>
      </c>
      <c r="AB49" s="4">
        <f t="shared" si="6"/>
        <v>1</v>
      </c>
      <c r="AC49" s="4">
        <f>SUM(Table1_2[[#This Row],[bp score]],Table1_2[[#This Row],[bmi score]],Table1_2[[#This Row],[Csmoking score]],Table1_2[[#This Row],[Condition score]],Table1_2[[#This Row],[Cholesterol score]],)</f>
        <v>2</v>
      </c>
      <c r="AD49" s="4" t="str">
        <f t="shared" si="7"/>
        <v>Medium risk</v>
      </c>
    </row>
    <row r="50" spans="1:30" x14ac:dyDescent="0.35">
      <c r="A50" s="4" t="s">
        <v>214</v>
      </c>
      <c r="B50" s="4" t="s">
        <v>215</v>
      </c>
      <c r="C50">
        <v>31</v>
      </c>
      <c r="D50" s="4" t="s">
        <v>73</v>
      </c>
      <c r="E50" s="4" t="s">
        <v>161</v>
      </c>
      <c r="F50" s="4" t="s">
        <v>57</v>
      </c>
      <c r="G50">
        <v>28.5</v>
      </c>
      <c r="H50">
        <v>101</v>
      </c>
      <c r="I50">
        <v>89</v>
      </c>
      <c r="J50">
        <v>213</v>
      </c>
      <c r="K50">
        <v>243</v>
      </c>
      <c r="L50" s="4" t="s">
        <v>860</v>
      </c>
      <c r="M50">
        <v>2</v>
      </c>
      <c r="N50">
        <v>2</v>
      </c>
      <c r="O50" s="4" t="s">
        <v>35</v>
      </c>
      <c r="P50" s="5">
        <v>45209</v>
      </c>
      <c r="Q50">
        <v>20</v>
      </c>
      <c r="R50">
        <v>13</v>
      </c>
      <c r="S50" s="4" t="s">
        <v>78</v>
      </c>
      <c r="T50" s="4" t="s">
        <v>100</v>
      </c>
      <c r="U50" t="str">
        <f t="shared" si="8"/>
        <v>Overweight</v>
      </c>
      <c r="V50" s="4" t="str">
        <f t="shared" si="0"/>
        <v>Adult</v>
      </c>
      <c r="W50" s="4" t="str">
        <f t="shared" si="1"/>
        <v>High Bp</v>
      </c>
      <c r="X50" s="4">
        <f t="shared" si="2"/>
        <v>1</v>
      </c>
      <c r="Y50" s="4">
        <f t="shared" si="3"/>
        <v>0</v>
      </c>
      <c r="Z50" s="4">
        <f t="shared" si="4"/>
        <v>0</v>
      </c>
      <c r="AA50" s="4">
        <f t="shared" si="5"/>
        <v>0</v>
      </c>
      <c r="AB50" s="4">
        <f t="shared" si="6"/>
        <v>1</v>
      </c>
      <c r="AC50" s="4">
        <f>SUM(Table1_2[[#This Row],[bp score]],Table1_2[[#This Row],[bmi score]],Table1_2[[#This Row],[Csmoking score]],Table1_2[[#This Row],[Condition score]],Table1_2[[#This Row],[Cholesterol score]],)</f>
        <v>2</v>
      </c>
      <c r="AD50" s="4" t="str">
        <f t="shared" si="7"/>
        <v>Medium risk</v>
      </c>
    </row>
    <row r="51" spans="1:30" x14ac:dyDescent="0.35">
      <c r="A51" s="4" t="s">
        <v>856</v>
      </c>
      <c r="B51" s="4" t="s">
        <v>217</v>
      </c>
      <c r="C51">
        <v>46</v>
      </c>
      <c r="D51" s="4" t="s">
        <v>73</v>
      </c>
      <c r="E51" s="4" t="s">
        <v>131</v>
      </c>
      <c r="F51" s="4" t="s">
        <v>52</v>
      </c>
      <c r="G51">
        <v>26.5</v>
      </c>
      <c r="H51">
        <v>145</v>
      </c>
      <c r="I51">
        <v>96</v>
      </c>
      <c r="J51">
        <v>215</v>
      </c>
      <c r="K51">
        <v>249</v>
      </c>
      <c r="L51" s="4" t="s">
        <v>859</v>
      </c>
      <c r="M51">
        <v>0</v>
      </c>
      <c r="N51">
        <v>7</v>
      </c>
      <c r="O51" s="4" t="s">
        <v>25</v>
      </c>
      <c r="P51" s="5">
        <v>44497</v>
      </c>
      <c r="Q51">
        <v>1</v>
      </c>
      <c r="R51">
        <v>19</v>
      </c>
      <c r="S51" s="4" t="s">
        <v>92</v>
      </c>
      <c r="T51" s="4" t="s">
        <v>863</v>
      </c>
      <c r="U51" t="str">
        <f t="shared" si="8"/>
        <v>Overweight</v>
      </c>
      <c r="V51" s="4" t="str">
        <f t="shared" si="0"/>
        <v>Elder</v>
      </c>
      <c r="W51" s="4" t="str">
        <f t="shared" si="1"/>
        <v>High Bp</v>
      </c>
      <c r="X51" s="4">
        <f t="shared" si="2"/>
        <v>1</v>
      </c>
      <c r="Y51" s="4">
        <f t="shared" si="3"/>
        <v>0</v>
      </c>
      <c r="Z51" s="4">
        <f t="shared" si="4"/>
        <v>1</v>
      </c>
      <c r="AA51" s="4">
        <f t="shared" si="5"/>
        <v>1</v>
      </c>
      <c r="AB51" s="4">
        <f t="shared" si="6"/>
        <v>1</v>
      </c>
      <c r="AC51" s="4">
        <f>SUM(Table1_2[[#This Row],[bp score]],Table1_2[[#This Row],[bmi score]],Table1_2[[#This Row],[Csmoking score]],Table1_2[[#This Row],[Condition score]],Table1_2[[#This Row],[Cholesterol score]],)</f>
        <v>4</v>
      </c>
      <c r="AD51" s="4" t="str">
        <f t="shared" si="7"/>
        <v>High risk</v>
      </c>
    </row>
    <row r="52" spans="1:30" x14ac:dyDescent="0.35">
      <c r="A52" s="4" t="s">
        <v>219</v>
      </c>
      <c r="B52" s="4" t="s">
        <v>220</v>
      </c>
      <c r="C52">
        <v>44</v>
      </c>
      <c r="D52" s="4" t="s">
        <v>73</v>
      </c>
      <c r="E52" s="4" t="s">
        <v>23</v>
      </c>
      <c r="F52" s="4" t="s">
        <v>66</v>
      </c>
      <c r="G52">
        <v>23.3</v>
      </c>
      <c r="H52">
        <v>117</v>
      </c>
      <c r="I52">
        <v>100</v>
      </c>
      <c r="J52">
        <v>164</v>
      </c>
      <c r="K52">
        <v>230</v>
      </c>
      <c r="L52" s="4" t="s">
        <v>859</v>
      </c>
      <c r="M52">
        <v>4</v>
      </c>
      <c r="N52">
        <v>8</v>
      </c>
      <c r="O52" s="4" t="s">
        <v>25</v>
      </c>
      <c r="P52" s="5">
        <v>45265</v>
      </c>
      <c r="Q52">
        <v>2</v>
      </c>
      <c r="R52">
        <v>9</v>
      </c>
      <c r="S52" s="4" t="s">
        <v>78</v>
      </c>
      <c r="T52" s="4" t="s">
        <v>100</v>
      </c>
      <c r="U52" t="str">
        <f t="shared" si="8"/>
        <v>Normal</v>
      </c>
      <c r="V52" s="4" t="str">
        <f t="shared" si="0"/>
        <v>Elder</v>
      </c>
      <c r="W52" s="4" t="str">
        <f t="shared" si="1"/>
        <v>High Bp</v>
      </c>
      <c r="X52" s="4">
        <f t="shared" si="2"/>
        <v>1</v>
      </c>
      <c r="Y52" s="4">
        <f t="shared" si="3"/>
        <v>0</v>
      </c>
      <c r="Z52" s="4">
        <f t="shared" si="4"/>
        <v>1</v>
      </c>
      <c r="AA52" s="4">
        <f t="shared" si="5"/>
        <v>0</v>
      </c>
      <c r="AB52" s="4">
        <f t="shared" si="6"/>
        <v>0</v>
      </c>
      <c r="AC52" s="4">
        <f>SUM(Table1_2[[#This Row],[bp score]],Table1_2[[#This Row],[bmi score]],Table1_2[[#This Row],[Csmoking score]],Table1_2[[#This Row],[Condition score]],Table1_2[[#This Row],[Cholesterol score]],)</f>
        <v>2</v>
      </c>
      <c r="AD52" s="4" t="str">
        <f t="shared" si="7"/>
        <v>Medium risk</v>
      </c>
    </row>
    <row r="53" spans="1:30" x14ac:dyDescent="0.35">
      <c r="A53" s="4" t="s">
        <v>222</v>
      </c>
      <c r="B53" s="4" t="s">
        <v>223</v>
      </c>
      <c r="C53">
        <v>30</v>
      </c>
      <c r="D53" s="4" t="s">
        <v>73</v>
      </c>
      <c r="E53" s="4" t="s">
        <v>131</v>
      </c>
      <c r="F53" s="4" t="s">
        <v>75</v>
      </c>
      <c r="G53">
        <v>39.799999999999997</v>
      </c>
      <c r="H53">
        <v>121</v>
      </c>
      <c r="I53">
        <v>76</v>
      </c>
      <c r="J53">
        <v>263</v>
      </c>
      <c r="K53">
        <v>145</v>
      </c>
      <c r="L53" s="4" t="s">
        <v>860</v>
      </c>
      <c r="M53">
        <v>1</v>
      </c>
      <c r="N53">
        <v>8</v>
      </c>
      <c r="O53" s="4" t="s">
        <v>35</v>
      </c>
      <c r="P53" s="5">
        <v>44679</v>
      </c>
      <c r="Q53">
        <v>12</v>
      </c>
      <c r="R53">
        <v>17</v>
      </c>
      <c r="S53" s="4" t="s">
        <v>78</v>
      </c>
      <c r="T53" s="4" t="s">
        <v>863</v>
      </c>
      <c r="U53" t="str">
        <f t="shared" si="8"/>
        <v>Obese</v>
      </c>
      <c r="V53" s="4" t="str">
        <f t="shared" si="0"/>
        <v>Young adult</v>
      </c>
      <c r="W53" s="4" t="str">
        <f t="shared" si="1"/>
        <v>Elevated</v>
      </c>
      <c r="X53" s="4">
        <f t="shared" si="2"/>
        <v>0</v>
      </c>
      <c r="Y53" s="4">
        <f t="shared" si="3"/>
        <v>1</v>
      </c>
      <c r="Z53" s="4">
        <f t="shared" si="4"/>
        <v>0</v>
      </c>
      <c r="AA53" s="4">
        <f t="shared" si="5"/>
        <v>0</v>
      </c>
      <c r="AB53" s="4">
        <f t="shared" si="6"/>
        <v>1</v>
      </c>
      <c r="AC53" s="4">
        <f>SUM(Table1_2[[#This Row],[bp score]],Table1_2[[#This Row],[bmi score]],Table1_2[[#This Row],[Csmoking score]],Table1_2[[#This Row],[Condition score]],Table1_2[[#This Row],[Cholesterol score]],)</f>
        <v>2</v>
      </c>
      <c r="AD53" s="4" t="str">
        <f t="shared" si="7"/>
        <v>Medium risk</v>
      </c>
    </row>
    <row r="54" spans="1:30" x14ac:dyDescent="0.35">
      <c r="A54" s="4" t="s">
        <v>225</v>
      </c>
      <c r="B54" s="4" t="s">
        <v>226</v>
      </c>
      <c r="C54">
        <v>38</v>
      </c>
      <c r="D54" s="4" t="s">
        <v>73</v>
      </c>
      <c r="E54" s="4" t="s">
        <v>161</v>
      </c>
      <c r="F54" s="4" t="s">
        <v>117</v>
      </c>
      <c r="G54">
        <v>33.799999999999997</v>
      </c>
      <c r="H54">
        <v>133</v>
      </c>
      <c r="I54">
        <v>97</v>
      </c>
      <c r="J54">
        <v>237</v>
      </c>
      <c r="K54">
        <v>233</v>
      </c>
      <c r="L54" s="4" t="s">
        <v>860</v>
      </c>
      <c r="M54">
        <v>1</v>
      </c>
      <c r="N54">
        <v>4</v>
      </c>
      <c r="O54" s="4" t="s">
        <v>35</v>
      </c>
      <c r="P54" s="5">
        <v>44487</v>
      </c>
      <c r="Q54">
        <v>10</v>
      </c>
      <c r="R54">
        <v>19</v>
      </c>
      <c r="S54" s="4" t="s">
        <v>78</v>
      </c>
      <c r="T54" s="4" t="s">
        <v>863</v>
      </c>
      <c r="U54" t="str">
        <f t="shared" si="8"/>
        <v>Obese</v>
      </c>
      <c r="V54" s="4" t="str">
        <f t="shared" si="0"/>
        <v>Adult</v>
      </c>
      <c r="W54" s="4" t="str">
        <f t="shared" si="1"/>
        <v>High Bp</v>
      </c>
      <c r="X54" s="4">
        <f t="shared" si="2"/>
        <v>1</v>
      </c>
      <c r="Y54" s="4">
        <f t="shared" si="3"/>
        <v>1</v>
      </c>
      <c r="Z54" s="4">
        <f t="shared" si="4"/>
        <v>0</v>
      </c>
      <c r="AA54" s="4">
        <f t="shared" si="5"/>
        <v>0</v>
      </c>
      <c r="AB54" s="4">
        <f t="shared" si="6"/>
        <v>1</v>
      </c>
      <c r="AC54" s="4">
        <f>SUM(Table1_2[[#This Row],[bp score]],Table1_2[[#This Row],[bmi score]],Table1_2[[#This Row],[Csmoking score]],Table1_2[[#This Row],[Condition score]],Table1_2[[#This Row],[Cholesterol score]],)</f>
        <v>3</v>
      </c>
      <c r="AD54" s="4" t="str">
        <f t="shared" si="7"/>
        <v>Medium risk</v>
      </c>
    </row>
    <row r="55" spans="1:30" x14ac:dyDescent="0.35">
      <c r="A55" s="4" t="s">
        <v>228</v>
      </c>
      <c r="B55" s="4" t="s">
        <v>229</v>
      </c>
      <c r="C55">
        <v>48</v>
      </c>
      <c r="D55" s="4" t="s">
        <v>73</v>
      </c>
      <c r="E55" s="4" t="s">
        <v>33</v>
      </c>
      <c r="F55" s="4" t="s">
        <v>117</v>
      </c>
      <c r="G55">
        <v>40.700000000000003</v>
      </c>
      <c r="H55">
        <v>138</v>
      </c>
      <c r="I55">
        <v>91</v>
      </c>
      <c r="J55">
        <v>169</v>
      </c>
      <c r="K55">
        <v>94</v>
      </c>
      <c r="L55" s="4" t="s">
        <v>861</v>
      </c>
      <c r="M55">
        <v>0</v>
      </c>
      <c r="N55">
        <v>3</v>
      </c>
      <c r="O55" s="4" t="s">
        <v>25</v>
      </c>
      <c r="P55" s="5">
        <v>45465</v>
      </c>
      <c r="Q55">
        <v>17</v>
      </c>
      <c r="R55">
        <v>13</v>
      </c>
      <c r="S55" s="4" t="s">
        <v>78</v>
      </c>
      <c r="T55" s="4" t="s">
        <v>864</v>
      </c>
      <c r="U55" t="str">
        <f t="shared" si="8"/>
        <v>Obese</v>
      </c>
      <c r="V55" s="4" t="str">
        <f t="shared" si="0"/>
        <v>Elder</v>
      </c>
      <c r="W55" s="4" t="str">
        <f t="shared" si="1"/>
        <v>High Bp</v>
      </c>
      <c r="X55" s="4">
        <f t="shared" si="2"/>
        <v>1</v>
      </c>
      <c r="Y55" s="4">
        <f t="shared" si="3"/>
        <v>1</v>
      </c>
      <c r="Z55" s="4">
        <f t="shared" si="4"/>
        <v>0</v>
      </c>
      <c r="AA55" s="4">
        <f t="shared" si="5"/>
        <v>0</v>
      </c>
      <c r="AB55" s="4">
        <f t="shared" si="6"/>
        <v>0</v>
      </c>
      <c r="AC55" s="4">
        <f>SUM(Table1_2[[#This Row],[bp score]],Table1_2[[#This Row],[bmi score]],Table1_2[[#This Row],[Csmoking score]],Table1_2[[#This Row],[Condition score]],Table1_2[[#This Row],[Cholesterol score]],)</f>
        <v>2</v>
      </c>
      <c r="AD55" s="4" t="str">
        <f t="shared" si="7"/>
        <v>Medium risk</v>
      </c>
    </row>
    <row r="56" spans="1:30" x14ac:dyDescent="0.35">
      <c r="A56" s="4" t="s">
        <v>231</v>
      </c>
      <c r="B56" s="4" t="s">
        <v>186</v>
      </c>
      <c r="C56">
        <v>53</v>
      </c>
      <c r="D56" s="4" t="s">
        <v>32</v>
      </c>
      <c r="E56" s="4" t="s">
        <v>74</v>
      </c>
      <c r="F56" s="4" t="s">
        <v>117</v>
      </c>
      <c r="G56">
        <v>34.299999999999997</v>
      </c>
      <c r="H56">
        <v>127</v>
      </c>
      <c r="I56">
        <v>88</v>
      </c>
      <c r="J56">
        <v>213</v>
      </c>
      <c r="K56">
        <v>130</v>
      </c>
      <c r="L56" s="4" t="s">
        <v>860</v>
      </c>
      <c r="M56">
        <v>1</v>
      </c>
      <c r="N56">
        <v>6</v>
      </c>
      <c r="O56" s="4" t="s">
        <v>35</v>
      </c>
      <c r="P56" s="5">
        <v>44386</v>
      </c>
      <c r="Q56">
        <v>6</v>
      </c>
      <c r="R56">
        <v>3</v>
      </c>
      <c r="S56" s="4" t="s">
        <v>92</v>
      </c>
      <c r="T56" s="4" t="s">
        <v>863</v>
      </c>
      <c r="U56" t="str">
        <f t="shared" si="8"/>
        <v>Obese</v>
      </c>
      <c r="V56" s="4" t="str">
        <f t="shared" si="0"/>
        <v>Aged</v>
      </c>
      <c r="W56" s="4" t="str">
        <f t="shared" si="1"/>
        <v>High Bp</v>
      </c>
      <c r="X56" s="4">
        <f t="shared" si="2"/>
        <v>1</v>
      </c>
      <c r="Y56" s="4">
        <f t="shared" si="3"/>
        <v>1</v>
      </c>
      <c r="Z56" s="4">
        <f t="shared" si="4"/>
        <v>0</v>
      </c>
      <c r="AA56" s="4">
        <f t="shared" si="5"/>
        <v>1</v>
      </c>
      <c r="AB56" s="4">
        <f t="shared" si="6"/>
        <v>1</v>
      </c>
      <c r="AC56" s="4">
        <f>SUM(Table1_2[[#This Row],[bp score]],Table1_2[[#This Row],[bmi score]],Table1_2[[#This Row],[Csmoking score]],Table1_2[[#This Row],[Condition score]],Table1_2[[#This Row],[Cholesterol score]],)</f>
        <v>4</v>
      </c>
      <c r="AD56" s="4" t="str">
        <f t="shared" si="7"/>
        <v>High risk</v>
      </c>
    </row>
    <row r="57" spans="1:30" x14ac:dyDescent="0.35">
      <c r="A57" s="4" t="s">
        <v>233</v>
      </c>
      <c r="B57" s="4" t="s">
        <v>234</v>
      </c>
      <c r="C57">
        <v>23</v>
      </c>
      <c r="D57" s="4" t="s">
        <v>32</v>
      </c>
      <c r="E57" s="4" t="s">
        <v>127</v>
      </c>
      <c r="F57" s="4" t="s">
        <v>52</v>
      </c>
      <c r="G57">
        <v>41.7</v>
      </c>
      <c r="H57">
        <v>126</v>
      </c>
      <c r="I57">
        <v>64</v>
      </c>
      <c r="J57">
        <v>193</v>
      </c>
      <c r="K57">
        <v>220</v>
      </c>
      <c r="L57" s="4" t="s">
        <v>861</v>
      </c>
      <c r="M57">
        <v>3</v>
      </c>
      <c r="N57">
        <v>6</v>
      </c>
      <c r="O57" s="4" t="s">
        <v>25</v>
      </c>
      <c r="P57" s="5">
        <v>44344</v>
      </c>
      <c r="Q57">
        <v>4</v>
      </c>
      <c r="R57">
        <v>4</v>
      </c>
      <c r="S57" s="4" t="s">
        <v>38</v>
      </c>
      <c r="T57" s="4" t="s">
        <v>863</v>
      </c>
      <c r="U57" t="str">
        <f t="shared" si="8"/>
        <v>Obese</v>
      </c>
      <c r="V57" s="4" t="str">
        <f t="shared" si="0"/>
        <v>Young adult</v>
      </c>
      <c r="W57" s="4" t="str">
        <f t="shared" si="1"/>
        <v>Elevated</v>
      </c>
      <c r="X57" s="4">
        <f t="shared" si="2"/>
        <v>0</v>
      </c>
      <c r="Y57" s="4">
        <f t="shared" si="3"/>
        <v>1</v>
      </c>
      <c r="Z57" s="4">
        <f t="shared" si="4"/>
        <v>0</v>
      </c>
      <c r="AA57" s="4">
        <f t="shared" si="5"/>
        <v>1</v>
      </c>
      <c r="AB57" s="4">
        <f t="shared" si="6"/>
        <v>0</v>
      </c>
      <c r="AC57" s="4">
        <f>SUM(Table1_2[[#This Row],[bp score]],Table1_2[[#This Row],[bmi score]],Table1_2[[#This Row],[Csmoking score]],Table1_2[[#This Row],[Condition score]],Table1_2[[#This Row],[Cholesterol score]],)</f>
        <v>2</v>
      </c>
      <c r="AD57" s="4" t="str">
        <f t="shared" si="7"/>
        <v>Medium risk</v>
      </c>
    </row>
    <row r="58" spans="1:30" x14ac:dyDescent="0.35">
      <c r="A58" s="4" t="s">
        <v>236</v>
      </c>
      <c r="B58" s="4" t="s">
        <v>237</v>
      </c>
      <c r="C58">
        <v>23</v>
      </c>
      <c r="D58" s="4" t="s">
        <v>32</v>
      </c>
      <c r="E58" s="4" t="s">
        <v>161</v>
      </c>
      <c r="F58" s="4" t="s">
        <v>117</v>
      </c>
      <c r="G58">
        <v>36.700000000000003</v>
      </c>
      <c r="H58">
        <v>130</v>
      </c>
      <c r="I58">
        <v>97</v>
      </c>
      <c r="J58">
        <v>222</v>
      </c>
      <c r="K58">
        <v>74</v>
      </c>
      <c r="L58" s="4" t="s">
        <v>860</v>
      </c>
      <c r="M58">
        <v>4</v>
      </c>
      <c r="N58">
        <v>1</v>
      </c>
      <c r="O58" s="4" t="s">
        <v>25</v>
      </c>
      <c r="P58" s="5">
        <v>45539</v>
      </c>
      <c r="Q58">
        <v>2</v>
      </c>
      <c r="R58">
        <v>15</v>
      </c>
      <c r="S58" s="4" t="s">
        <v>92</v>
      </c>
      <c r="T58" s="4" t="s">
        <v>864</v>
      </c>
      <c r="U58" t="str">
        <f t="shared" si="8"/>
        <v>Obese</v>
      </c>
      <c r="V58" s="4" t="str">
        <f t="shared" si="0"/>
        <v>Young adult</v>
      </c>
      <c r="W58" s="4" t="str">
        <f t="shared" si="1"/>
        <v>High Bp</v>
      </c>
      <c r="X58" s="4">
        <f t="shared" si="2"/>
        <v>1</v>
      </c>
      <c r="Y58" s="4">
        <f t="shared" si="3"/>
        <v>1</v>
      </c>
      <c r="Z58" s="4">
        <f t="shared" si="4"/>
        <v>0</v>
      </c>
      <c r="AA58" s="4">
        <f t="shared" si="5"/>
        <v>1</v>
      </c>
      <c r="AB58" s="4">
        <f t="shared" si="6"/>
        <v>1</v>
      </c>
      <c r="AC58" s="4">
        <f>SUM(Table1_2[[#This Row],[bp score]],Table1_2[[#This Row],[bmi score]],Table1_2[[#This Row],[Csmoking score]],Table1_2[[#This Row],[Condition score]],Table1_2[[#This Row],[Cholesterol score]],)</f>
        <v>4</v>
      </c>
      <c r="AD58" s="4" t="str">
        <f t="shared" si="7"/>
        <v>High risk</v>
      </c>
    </row>
    <row r="59" spans="1:30" x14ac:dyDescent="0.35">
      <c r="A59" s="4" t="s">
        <v>239</v>
      </c>
      <c r="B59" s="4" t="s">
        <v>240</v>
      </c>
      <c r="C59">
        <v>28</v>
      </c>
      <c r="D59" s="4" t="s">
        <v>73</v>
      </c>
      <c r="E59" s="4" t="s">
        <v>131</v>
      </c>
      <c r="F59" s="4" t="s">
        <v>52</v>
      </c>
      <c r="G59">
        <v>40.6</v>
      </c>
      <c r="H59">
        <v>105</v>
      </c>
      <c r="I59">
        <v>102</v>
      </c>
      <c r="J59">
        <v>273</v>
      </c>
      <c r="K59">
        <v>147</v>
      </c>
      <c r="L59" s="4" t="s">
        <v>859</v>
      </c>
      <c r="M59">
        <v>7</v>
      </c>
      <c r="N59">
        <v>1</v>
      </c>
      <c r="O59" s="4" t="s">
        <v>25</v>
      </c>
      <c r="P59" s="5">
        <v>45487</v>
      </c>
      <c r="Q59">
        <v>3</v>
      </c>
      <c r="R59">
        <v>15</v>
      </c>
      <c r="S59" s="4" t="s">
        <v>92</v>
      </c>
      <c r="T59" s="4" t="s">
        <v>863</v>
      </c>
      <c r="U59" t="str">
        <f t="shared" si="8"/>
        <v>Obese</v>
      </c>
      <c r="V59" s="4" t="str">
        <f t="shared" si="0"/>
        <v>Young adult</v>
      </c>
      <c r="W59" s="4" t="str">
        <f t="shared" si="1"/>
        <v>High Bp</v>
      </c>
      <c r="X59" s="4">
        <f t="shared" si="2"/>
        <v>1</v>
      </c>
      <c r="Y59" s="4">
        <f t="shared" si="3"/>
        <v>1</v>
      </c>
      <c r="Z59" s="4">
        <f t="shared" si="4"/>
        <v>1</v>
      </c>
      <c r="AA59" s="4">
        <f t="shared" si="5"/>
        <v>1</v>
      </c>
      <c r="AB59" s="4">
        <f t="shared" si="6"/>
        <v>1</v>
      </c>
      <c r="AC59" s="4">
        <f>SUM(Table1_2[[#This Row],[bp score]],Table1_2[[#This Row],[bmi score]],Table1_2[[#This Row],[Csmoking score]],Table1_2[[#This Row],[Condition score]],Table1_2[[#This Row],[Cholesterol score]],)</f>
        <v>5</v>
      </c>
      <c r="AD59" s="4" t="str">
        <f t="shared" si="7"/>
        <v>High risk</v>
      </c>
    </row>
    <row r="60" spans="1:30" x14ac:dyDescent="0.35">
      <c r="A60" s="4" t="s">
        <v>242</v>
      </c>
      <c r="B60" s="4" t="s">
        <v>130</v>
      </c>
      <c r="C60">
        <v>60</v>
      </c>
      <c r="D60" s="4" t="s">
        <v>32</v>
      </c>
      <c r="E60" s="4" t="s">
        <v>131</v>
      </c>
      <c r="F60" s="4" t="s">
        <v>24</v>
      </c>
      <c r="G60">
        <v>23.9</v>
      </c>
      <c r="H60">
        <v>170</v>
      </c>
      <c r="I60">
        <v>105</v>
      </c>
      <c r="J60">
        <v>223</v>
      </c>
      <c r="K60">
        <v>167</v>
      </c>
      <c r="L60" s="4" t="s">
        <v>100</v>
      </c>
      <c r="M60">
        <v>0</v>
      </c>
      <c r="N60">
        <v>5</v>
      </c>
      <c r="O60" s="4" t="s">
        <v>35</v>
      </c>
      <c r="P60" s="5">
        <v>45348</v>
      </c>
      <c r="Q60">
        <v>3</v>
      </c>
      <c r="R60">
        <v>20</v>
      </c>
      <c r="S60" s="4" t="s">
        <v>78</v>
      </c>
      <c r="T60" s="4" t="s">
        <v>100</v>
      </c>
      <c r="U60" t="str">
        <f t="shared" si="8"/>
        <v>Normal</v>
      </c>
      <c r="V60" s="4" t="str">
        <f t="shared" si="0"/>
        <v>Aged</v>
      </c>
      <c r="W60" s="4" t="str">
        <f t="shared" si="1"/>
        <v>High Bp</v>
      </c>
      <c r="X60" s="4">
        <f t="shared" si="2"/>
        <v>1</v>
      </c>
      <c r="Y60" s="4">
        <f t="shared" si="3"/>
        <v>0</v>
      </c>
      <c r="Z60" s="4">
        <f t="shared" si="4"/>
        <v>0</v>
      </c>
      <c r="AA60" s="4">
        <f t="shared" si="5"/>
        <v>0</v>
      </c>
      <c r="AB60" s="4">
        <f t="shared" si="6"/>
        <v>1</v>
      </c>
      <c r="AC60" s="4">
        <f>SUM(Table1_2[[#This Row],[bp score]],Table1_2[[#This Row],[bmi score]],Table1_2[[#This Row],[Csmoking score]],Table1_2[[#This Row],[Condition score]],Table1_2[[#This Row],[Cholesterol score]],)</f>
        <v>2</v>
      </c>
      <c r="AD60" s="4" t="str">
        <f t="shared" si="7"/>
        <v>Medium risk</v>
      </c>
    </row>
    <row r="61" spans="1:30" x14ac:dyDescent="0.35">
      <c r="A61" s="4" t="s">
        <v>244</v>
      </c>
      <c r="B61" s="4" t="s">
        <v>245</v>
      </c>
      <c r="C61">
        <v>45</v>
      </c>
      <c r="D61" s="4" t="s">
        <v>32</v>
      </c>
      <c r="E61" s="4" t="s">
        <v>127</v>
      </c>
      <c r="F61" s="4" t="s">
        <v>90</v>
      </c>
      <c r="G61">
        <v>27</v>
      </c>
      <c r="H61">
        <v>112</v>
      </c>
      <c r="I61">
        <v>80</v>
      </c>
      <c r="J61">
        <v>249</v>
      </c>
      <c r="K61">
        <v>150</v>
      </c>
      <c r="L61" s="4" t="s">
        <v>859</v>
      </c>
      <c r="M61">
        <v>5</v>
      </c>
      <c r="N61">
        <v>3</v>
      </c>
      <c r="O61" s="4" t="s">
        <v>35</v>
      </c>
      <c r="P61" s="5">
        <v>44941</v>
      </c>
      <c r="Q61">
        <v>0</v>
      </c>
      <c r="R61">
        <v>13</v>
      </c>
      <c r="S61" s="4" t="s">
        <v>78</v>
      </c>
      <c r="T61" s="4" t="s">
        <v>864</v>
      </c>
      <c r="U61" t="str">
        <f t="shared" si="8"/>
        <v>Overweight</v>
      </c>
      <c r="V61" s="4" t="str">
        <f t="shared" si="0"/>
        <v>Elder</v>
      </c>
      <c r="W61" s="4" t="str">
        <f t="shared" si="1"/>
        <v>High Bp</v>
      </c>
      <c r="X61" s="4">
        <f t="shared" si="2"/>
        <v>1</v>
      </c>
      <c r="Y61" s="4">
        <f t="shared" si="3"/>
        <v>0</v>
      </c>
      <c r="Z61" s="4">
        <f t="shared" si="4"/>
        <v>1</v>
      </c>
      <c r="AA61" s="4">
        <f t="shared" si="5"/>
        <v>0</v>
      </c>
      <c r="AB61" s="4">
        <f t="shared" si="6"/>
        <v>1</v>
      </c>
      <c r="AC61" s="4">
        <f>SUM(Table1_2[[#This Row],[bp score]],Table1_2[[#This Row],[bmi score]],Table1_2[[#This Row],[Csmoking score]],Table1_2[[#This Row],[Condition score]],Table1_2[[#This Row],[Cholesterol score]],)</f>
        <v>3</v>
      </c>
      <c r="AD61" s="4" t="str">
        <f t="shared" si="7"/>
        <v>Medium risk</v>
      </c>
    </row>
    <row r="62" spans="1:30" x14ac:dyDescent="0.35">
      <c r="A62" s="4" t="s">
        <v>246</v>
      </c>
      <c r="B62" s="4" t="s">
        <v>247</v>
      </c>
      <c r="C62">
        <v>59</v>
      </c>
      <c r="D62" s="4" t="s">
        <v>73</v>
      </c>
      <c r="E62" s="4" t="s">
        <v>131</v>
      </c>
      <c r="F62" s="4" t="s">
        <v>82</v>
      </c>
      <c r="G62">
        <v>25.8</v>
      </c>
      <c r="H62">
        <v>154</v>
      </c>
      <c r="I62">
        <v>63</v>
      </c>
      <c r="J62">
        <v>213</v>
      </c>
      <c r="K62">
        <v>223</v>
      </c>
      <c r="L62" s="4" t="s">
        <v>859</v>
      </c>
      <c r="M62">
        <v>5</v>
      </c>
      <c r="N62">
        <v>2</v>
      </c>
      <c r="O62" s="4" t="s">
        <v>35</v>
      </c>
      <c r="P62" s="5">
        <v>44881</v>
      </c>
      <c r="Q62">
        <v>7</v>
      </c>
      <c r="R62">
        <v>3</v>
      </c>
      <c r="S62" s="4" t="s">
        <v>78</v>
      </c>
      <c r="T62" s="4" t="s">
        <v>100</v>
      </c>
      <c r="U62" t="str">
        <f t="shared" si="8"/>
        <v>Overweight</v>
      </c>
      <c r="V62" s="4" t="str">
        <f t="shared" si="0"/>
        <v>Aged</v>
      </c>
      <c r="W62" s="4" t="str">
        <f t="shared" si="1"/>
        <v>High Bp</v>
      </c>
      <c r="X62" s="4">
        <f t="shared" si="2"/>
        <v>1</v>
      </c>
      <c r="Y62" s="4">
        <f t="shared" si="3"/>
        <v>0</v>
      </c>
      <c r="Z62" s="4">
        <f t="shared" si="4"/>
        <v>1</v>
      </c>
      <c r="AA62" s="4">
        <f t="shared" si="5"/>
        <v>0</v>
      </c>
      <c r="AB62" s="4">
        <f t="shared" si="6"/>
        <v>1</v>
      </c>
      <c r="AC62" s="4">
        <f>SUM(Table1_2[[#This Row],[bp score]],Table1_2[[#This Row],[bmi score]],Table1_2[[#This Row],[Csmoking score]],Table1_2[[#This Row],[Condition score]],Table1_2[[#This Row],[Cholesterol score]],)</f>
        <v>3</v>
      </c>
      <c r="AD62" s="4" t="str">
        <f t="shared" si="7"/>
        <v>Medium risk</v>
      </c>
    </row>
    <row r="63" spans="1:30" x14ac:dyDescent="0.35">
      <c r="A63" s="4" t="s">
        <v>249</v>
      </c>
      <c r="B63" s="4" t="s">
        <v>250</v>
      </c>
      <c r="C63">
        <v>39</v>
      </c>
      <c r="D63" s="4" t="s">
        <v>73</v>
      </c>
      <c r="E63" s="4" t="s">
        <v>65</v>
      </c>
      <c r="F63" s="4" t="s">
        <v>75</v>
      </c>
      <c r="G63">
        <v>41.4</v>
      </c>
      <c r="H63">
        <v>103</v>
      </c>
      <c r="I63">
        <v>98</v>
      </c>
      <c r="J63">
        <v>208</v>
      </c>
      <c r="K63">
        <v>77</v>
      </c>
      <c r="L63" s="4" t="s">
        <v>860</v>
      </c>
      <c r="M63">
        <v>4</v>
      </c>
      <c r="N63">
        <v>5</v>
      </c>
      <c r="O63" s="4" t="s">
        <v>35</v>
      </c>
      <c r="P63" s="5">
        <v>44932</v>
      </c>
      <c r="Q63">
        <v>4</v>
      </c>
      <c r="R63">
        <v>18</v>
      </c>
      <c r="S63" s="4" t="s">
        <v>78</v>
      </c>
      <c r="T63" s="4" t="s">
        <v>100</v>
      </c>
      <c r="U63" t="str">
        <f t="shared" si="8"/>
        <v>Obese</v>
      </c>
      <c r="V63" s="4" t="str">
        <f t="shared" si="0"/>
        <v>Adult</v>
      </c>
      <c r="W63" s="4" t="str">
        <f t="shared" si="1"/>
        <v>High Bp</v>
      </c>
      <c r="X63" s="4">
        <f t="shared" si="2"/>
        <v>1</v>
      </c>
      <c r="Y63" s="4">
        <f t="shared" si="3"/>
        <v>1</v>
      </c>
      <c r="Z63" s="4">
        <f t="shared" si="4"/>
        <v>0</v>
      </c>
      <c r="AA63" s="4">
        <f t="shared" si="5"/>
        <v>0</v>
      </c>
      <c r="AB63" s="4">
        <f t="shared" si="6"/>
        <v>1</v>
      </c>
      <c r="AC63" s="4">
        <f>SUM(Table1_2[[#This Row],[bp score]],Table1_2[[#This Row],[bmi score]],Table1_2[[#This Row],[Csmoking score]],Table1_2[[#This Row],[Condition score]],Table1_2[[#This Row],[Cholesterol score]],)</f>
        <v>3</v>
      </c>
      <c r="AD63" s="4" t="str">
        <f t="shared" si="7"/>
        <v>Medium risk</v>
      </c>
    </row>
    <row r="64" spans="1:30" x14ac:dyDescent="0.35">
      <c r="A64" s="4" t="s">
        <v>252</v>
      </c>
      <c r="B64" s="4" t="s">
        <v>253</v>
      </c>
      <c r="C64">
        <v>62</v>
      </c>
      <c r="D64" s="4" t="s">
        <v>32</v>
      </c>
      <c r="E64" s="4" t="s">
        <v>131</v>
      </c>
      <c r="F64" s="4" t="s">
        <v>75</v>
      </c>
      <c r="G64">
        <v>22.4</v>
      </c>
      <c r="H64">
        <v>153</v>
      </c>
      <c r="I64">
        <v>89</v>
      </c>
      <c r="J64">
        <v>227</v>
      </c>
      <c r="K64">
        <v>110</v>
      </c>
      <c r="L64" s="4" t="s">
        <v>860</v>
      </c>
      <c r="M64">
        <v>4</v>
      </c>
      <c r="N64">
        <v>6</v>
      </c>
      <c r="O64" s="4" t="s">
        <v>35</v>
      </c>
      <c r="P64" s="5">
        <v>44261</v>
      </c>
      <c r="Q64">
        <v>19</v>
      </c>
      <c r="R64">
        <v>1</v>
      </c>
      <c r="S64" s="4" t="s">
        <v>78</v>
      </c>
      <c r="T64" s="4" t="s">
        <v>863</v>
      </c>
      <c r="U64" t="str">
        <f t="shared" si="8"/>
        <v>Normal</v>
      </c>
      <c r="V64" s="4" t="str">
        <f t="shared" si="0"/>
        <v>Aged</v>
      </c>
      <c r="W64" s="4" t="str">
        <f t="shared" si="1"/>
        <v>High Bp</v>
      </c>
      <c r="X64" s="4">
        <f t="shared" si="2"/>
        <v>1</v>
      </c>
      <c r="Y64" s="4">
        <f t="shared" si="3"/>
        <v>0</v>
      </c>
      <c r="Z64" s="4">
        <f t="shared" si="4"/>
        <v>0</v>
      </c>
      <c r="AA64" s="4">
        <f t="shared" si="5"/>
        <v>0</v>
      </c>
      <c r="AB64" s="4">
        <f t="shared" si="6"/>
        <v>1</v>
      </c>
      <c r="AC64" s="4">
        <f>SUM(Table1_2[[#This Row],[bp score]],Table1_2[[#This Row],[bmi score]],Table1_2[[#This Row],[Csmoking score]],Table1_2[[#This Row],[Condition score]],Table1_2[[#This Row],[Cholesterol score]],)</f>
        <v>2</v>
      </c>
      <c r="AD64" s="4" t="str">
        <f t="shared" si="7"/>
        <v>Medium risk</v>
      </c>
    </row>
    <row r="65" spans="1:30" x14ac:dyDescent="0.35">
      <c r="A65" s="4" t="s">
        <v>255</v>
      </c>
      <c r="B65" s="4" t="s">
        <v>256</v>
      </c>
      <c r="C65">
        <v>49</v>
      </c>
      <c r="D65" s="4" t="s">
        <v>73</v>
      </c>
      <c r="E65" s="4" t="s">
        <v>33</v>
      </c>
      <c r="F65" s="4" t="s">
        <v>90</v>
      </c>
      <c r="G65">
        <v>27.4</v>
      </c>
      <c r="H65">
        <v>127</v>
      </c>
      <c r="I65">
        <v>92</v>
      </c>
      <c r="J65">
        <v>169</v>
      </c>
      <c r="K65">
        <v>158</v>
      </c>
      <c r="L65" s="4" t="s">
        <v>860</v>
      </c>
      <c r="M65">
        <v>1</v>
      </c>
      <c r="N65">
        <v>5</v>
      </c>
      <c r="O65" s="4" t="s">
        <v>35</v>
      </c>
      <c r="P65" s="5">
        <v>44934</v>
      </c>
      <c r="Q65">
        <v>12</v>
      </c>
      <c r="R65">
        <v>19</v>
      </c>
      <c r="S65" s="4" t="s">
        <v>99</v>
      </c>
      <c r="T65" s="4" t="s">
        <v>862</v>
      </c>
      <c r="U65" t="str">
        <f t="shared" si="8"/>
        <v>Overweight</v>
      </c>
      <c r="V65" s="4" t="str">
        <f t="shared" si="0"/>
        <v>Elder</v>
      </c>
      <c r="W65" s="4" t="str">
        <f t="shared" si="1"/>
        <v>High Bp</v>
      </c>
      <c r="X65" s="4">
        <f t="shared" si="2"/>
        <v>1</v>
      </c>
      <c r="Y65" s="4">
        <f t="shared" si="3"/>
        <v>0</v>
      </c>
      <c r="Z65" s="4">
        <f t="shared" si="4"/>
        <v>0</v>
      </c>
      <c r="AA65" s="4">
        <f t="shared" si="5"/>
        <v>1</v>
      </c>
      <c r="AB65" s="4">
        <f t="shared" si="6"/>
        <v>0</v>
      </c>
      <c r="AC65" s="4">
        <f>SUM(Table1_2[[#This Row],[bp score]],Table1_2[[#This Row],[bmi score]],Table1_2[[#This Row],[Csmoking score]],Table1_2[[#This Row],[Condition score]],Table1_2[[#This Row],[Cholesterol score]],)</f>
        <v>2</v>
      </c>
      <c r="AD65" s="4" t="str">
        <f t="shared" si="7"/>
        <v>Medium risk</v>
      </c>
    </row>
    <row r="66" spans="1:30" x14ac:dyDescent="0.35">
      <c r="A66" s="4" t="s">
        <v>258</v>
      </c>
      <c r="B66" s="4" t="s">
        <v>259</v>
      </c>
      <c r="C66">
        <v>35</v>
      </c>
      <c r="D66" s="4" t="s">
        <v>32</v>
      </c>
      <c r="E66" s="4" t="s">
        <v>74</v>
      </c>
      <c r="F66" s="4" t="s">
        <v>57</v>
      </c>
      <c r="G66">
        <v>25.2</v>
      </c>
      <c r="H66">
        <v>100</v>
      </c>
      <c r="I66">
        <v>91</v>
      </c>
      <c r="J66">
        <v>250</v>
      </c>
      <c r="K66">
        <v>114</v>
      </c>
      <c r="L66" s="4" t="s">
        <v>860</v>
      </c>
      <c r="M66">
        <v>6</v>
      </c>
      <c r="N66">
        <v>9</v>
      </c>
      <c r="O66" s="4" t="s">
        <v>35</v>
      </c>
      <c r="P66" s="5">
        <v>44970</v>
      </c>
      <c r="Q66">
        <v>1</v>
      </c>
      <c r="R66">
        <v>13</v>
      </c>
      <c r="S66" s="4" t="s">
        <v>99</v>
      </c>
      <c r="T66" s="4" t="s">
        <v>100</v>
      </c>
      <c r="U66" t="str">
        <f t="shared" ref="U66:U129" si="9">IF(G66&lt;18.5,"Underweight",IF(G66&lt;=24.9,"Normal",IF(G66&lt;=29.9,"Overweight","Obese")))</f>
        <v>Overweight</v>
      </c>
      <c r="V66" s="4" t="str">
        <f t="shared" ref="V66:V129" si="10">IF(C66&lt;=30,"Young adult",IF(C66&lt;=40,"Adult",IF(C66&lt;=50,"Elder","Aged")))</f>
        <v>Adult</v>
      </c>
      <c r="W66" s="4" t="str">
        <f t="shared" ref="W66:W129" si="11">IF(OR(H66&lt;90,I66&lt;60), "Low BP",IF(AND(H66&lt;120,I66&lt;80),"Normal",IF(AND(H66&gt;=120,H66&lt;130,I66&lt;80),"Elevated","High Bp")))</f>
        <v>High Bp</v>
      </c>
      <c r="X66" s="4">
        <f t="shared" ref="X66:X129" si="12">IF(W66="HIGH bp",1,0)</f>
        <v>1</v>
      </c>
      <c r="Y66" s="4">
        <f t="shared" ref="Y66:Y129" si="13">IF(U66="obese",1,0)</f>
        <v>0</v>
      </c>
      <c r="Z66" s="4">
        <f t="shared" ref="Z66:Z129" si="14">IF(L66="current smoker",1,0)</f>
        <v>0</v>
      </c>
      <c r="AA66" s="4">
        <f t="shared" ref="AA66:AA129" si="15">IF(S66="none",0,1)</f>
        <v>1</v>
      </c>
      <c r="AB66" s="4">
        <f t="shared" ref="AB66:AB129" si="16">IF(J66&gt;200,1,0)</f>
        <v>1</v>
      </c>
      <c r="AC66" s="4">
        <f>SUM(Table1_2[[#This Row],[bp score]],Table1_2[[#This Row],[bmi score]],Table1_2[[#This Row],[Csmoking score]],Table1_2[[#This Row],[Condition score]],Table1_2[[#This Row],[Cholesterol score]],)</f>
        <v>3</v>
      </c>
      <c r="AD66" s="4" t="str">
        <f t="shared" ref="AD66:AD129" si="17">IF(AC66&gt;=4,"High risk", IF(AC66&gt;=2, "Medium risk", "Low risk"))</f>
        <v>Medium risk</v>
      </c>
    </row>
    <row r="67" spans="1:30" x14ac:dyDescent="0.35">
      <c r="A67" s="4" t="s">
        <v>261</v>
      </c>
      <c r="B67" s="4" t="s">
        <v>130</v>
      </c>
      <c r="C67">
        <v>58</v>
      </c>
      <c r="D67" s="4" t="s">
        <v>32</v>
      </c>
      <c r="E67" s="4" t="s">
        <v>33</v>
      </c>
      <c r="F67" s="4" t="s">
        <v>82</v>
      </c>
      <c r="G67">
        <v>34.700000000000003</v>
      </c>
      <c r="H67">
        <v>153</v>
      </c>
      <c r="I67">
        <v>78</v>
      </c>
      <c r="J67">
        <v>169</v>
      </c>
      <c r="K67">
        <v>173</v>
      </c>
      <c r="L67" s="4" t="s">
        <v>859</v>
      </c>
      <c r="M67">
        <v>5</v>
      </c>
      <c r="N67">
        <v>3</v>
      </c>
      <c r="O67" s="4" t="s">
        <v>35</v>
      </c>
      <c r="P67" s="5">
        <v>44971</v>
      </c>
      <c r="Q67">
        <v>3</v>
      </c>
      <c r="R67">
        <v>7</v>
      </c>
      <c r="S67" s="4" t="s">
        <v>99</v>
      </c>
      <c r="T67" s="4" t="s">
        <v>100</v>
      </c>
      <c r="U67" t="str">
        <f t="shared" si="9"/>
        <v>Obese</v>
      </c>
      <c r="V67" s="4" t="str">
        <f t="shared" si="10"/>
        <v>Aged</v>
      </c>
      <c r="W67" s="4" t="str">
        <f t="shared" si="11"/>
        <v>High Bp</v>
      </c>
      <c r="X67" s="4">
        <f t="shared" si="12"/>
        <v>1</v>
      </c>
      <c r="Y67" s="4">
        <f t="shared" si="13"/>
        <v>1</v>
      </c>
      <c r="Z67" s="4">
        <f t="shared" si="14"/>
        <v>1</v>
      </c>
      <c r="AA67" s="4">
        <f t="shared" si="15"/>
        <v>1</v>
      </c>
      <c r="AB67" s="4">
        <f t="shared" si="16"/>
        <v>0</v>
      </c>
      <c r="AC67" s="4">
        <f>SUM(Table1_2[[#This Row],[bp score]],Table1_2[[#This Row],[bmi score]],Table1_2[[#This Row],[Csmoking score]],Table1_2[[#This Row],[Condition score]],Table1_2[[#This Row],[Cholesterol score]],)</f>
        <v>4</v>
      </c>
      <c r="AD67" s="4" t="str">
        <f t="shared" si="17"/>
        <v>High risk</v>
      </c>
    </row>
    <row r="68" spans="1:30" x14ac:dyDescent="0.35">
      <c r="A68" s="4" t="s">
        <v>263</v>
      </c>
      <c r="B68" s="4" t="s">
        <v>264</v>
      </c>
      <c r="C68">
        <v>47</v>
      </c>
      <c r="D68" s="4" t="s">
        <v>32</v>
      </c>
      <c r="E68" s="4" t="s">
        <v>127</v>
      </c>
      <c r="F68" s="4" t="s">
        <v>52</v>
      </c>
      <c r="G68">
        <v>25.3</v>
      </c>
      <c r="H68">
        <v>121</v>
      </c>
      <c r="I68">
        <v>64</v>
      </c>
      <c r="J68">
        <v>270</v>
      </c>
      <c r="K68">
        <v>232</v>
      </c>
      <c r="L68" s="4" t="s">
        <v>860</v>
      </c>
      <c r="M68">
        <v>0</v>
      </c>
      <c r="N68">
        <v>9</v>
      </c>
      <c r="O68" s="4" t="s">
        <v>35</v>
      </c>
      <c r="P68" s="5">
        <v>45101</v>
      </c>
      <c r="Q68">
        <v>20</v>
      </c>
      <c r="R68">
        <v>4</v>
      </c>
      <c r="S68" s="4" t="s">
        <v>78</v>
      </c>
      <c r="T68" s="4" t="s">
        <v>863</v>
      </c>
      <c r="U68" t="str">
        <f t="shared" si="9"/>
        <v>Overweight</v>
      </c>
      <c r="V68" s="4" t="str">
        <f t="shared" si="10"/>
        <v>Elder</v>
      </c>
      <c r="W68" s="4" t="str">
        <f t="shared" si="11"/>
        <v>Elevated</v>
      </c>
      <c r="X68" s="4">
        <f t="shared" si="12"/>
        <v>0</v>
      </c>
      <c r="Y68" s="4">
        <f t="shared" si="13"/>
        <v>0</v>
      </c>
      <c r="Z68" s="4">
        <f t="shared" si="14"/>
        <v>0</v>
      </c>
      <c r="AA68" s="4">
        <f t="shared" si="15"/>
        <v>0</v>
      </c>
      <c r="AB68" s="4">
        <f t="shared" si="16"/>
        <v>1</v>
      </c>
      <c r="AC68" s="4">
        <f>SUM(Table1_2[[#This Row],[bp score]],Table1_2[[#This Row],[bmi score]],Table1_2[[#This Row],[Csmoking score]],Table1_2[[#This Row],[Condition score]],Table1_2[[#This Row],[Cholesterol score]],)</f>
        <v>1</v>
      </c>
      <c r="AD68" s="4" t="str">
        <f t="shared" si="17"/>
        <v>Low risk</v>
      </c>
    </row>
    <row r="69" spans="1:30" x14ac:dyDescent="0.35">
      <c r="A69" s="4" t="s">
        <v>266</v>
      </c>
      <c r="B69" s="4" t="s">
        <v>267</v>
      </c>
      <c r="C69">
        <v>34</v>
      </c>
      <c r="D69" s="4" t="s">
        <v>32</v>
      </c>
      <c r="E69" s="4" t="s">
        <v>33</v>
      </c>
      <c r="F69" s="4" t="s">
        <v>24</v>
      </c>
      <c r="G69">
        <v>36</v>
      </c>
      <c r="H69">
        <v>109</v>
      </c>
      <c r="I69">
        <v>71</v>
      </c>
      <c r="J69">
        <v>266</v>
      </c>
      <c r="K69">
        <v>188</v>
      </c>
      <c r="L69" s="4" t="s">
        <v>100</v>
      </c>
      <c r="M69">
        <v>0</v>
      </c>
      <c r="N69">
        <v>8</v>
      </c>
      <c r="O69" s="4" t="s">
        <v>35</v>
      </c>
      <c r="P69" s="5">
        <v>45000</v>
      </c>
      <c r="Q69">
        <v>2</v>
      </c>
      <c r="R69">
        <v>15</v>
      </c>
      <c r="S69" s="4" t="s">
        <v>92</v>
      </c>
      <c r="T69" s="4" t="s">
        <v>863</v>
      </c>
      <c r="U69" t="str">
        <f t="shared" si="9"/>
        <v>Obese</v>
      </c>
      <c r="V69" s="4" t="str">
        <f t="shared" si="10"/>
        <v>Adult</v>
      </c>
      <c r="W69" s="4" t="str">
        <f t="shared" si="11"/>
        <v>Normal</v>
      </c>
      <c r="X69" s="4">
        <f t="shared" si="12"/>
        <v>0</v>
      </c>
      <c r="Y69" s="4">
        <f t="shared" si="13"/>
        <v>1</v>
      </c>
      <c r="Z69" s="4">
        <f t="shared" si="14"/>
        <v>0</v>
      </c>
      <c r="AA69" s="4">
        <f t="shared" si="15"/>
        <v>1</v>
      </c>
      <c r="AB69" s="4">
        <f t="shared" si="16"/>
        <v>1</v>
      </c>
      <c r="AC69" s="4">
        <f>SUM(Table1_2[[#This Row],[bp score]],Table1_2[[#This Row],[bmi score]],Table1_2[[#This Row],[Csmoking score]],Table1_2[[#This Row],[Condition score]],Table1_2[[#This Row],[Cholesterol score]],)</f>
        <v>3</v>
      </c>
      <c r="AD69" s="4" t="str">
        <f t="shared" si="17"/>
        <v>Medium risk</v>
      </c>
    </row>
    <row r="70" spans="1:30" x14ac:dyDescent="0.35">
      <c r="A70" s="4" t="s">
        <v>269</v>
      </c>
      <c r="B70" s="4" t="s">
        <v>174</v>
      </c>
      <c r="C70">
        <v>25</v>
      </c>
      <c r="D70" s="4" t="s">
        <v>73</v>
      </c>
      <c r="E70" s="4" t="s">
        <v>131</v>
      </c>
      <c r="F70" s="4" t="s">
        <v>82</v>
      </c>
      <c r="G70">
        <v>24.8</v>
      </c>
      <c r="H70">
        <v>157</v>
      </c>
      <c r="I70">
        <v>62</v>
      </c>
      <c r="J70">
        <v>154</v>
      </c>
      <c r="K70">
        <v>164</v>
      </c>
      <c r="L70" s="4" t="s">
        <v>859</v>
      </c>
      <c r="M70">
        <v>1</v>
      </c>
      <c r="N70">
        <v>2</v>
      </c>
      <c r="O70" s="4" t="s">
        <v>25</v>
      </c>
      <c r="P70" s="5">
        <v>45583</v>
      </c>
      <c r="Q70">
        <v>1</v>
      </c>
      <c r="R70">
        <v>14</v>
      </c>
      <c r="S70" s="4" t="s">
        <v>78</v>
      </c>
      <c r="T70" s="4" t="s">
        <v>862</v>
      </c>
      <c r="U70" t="str">
        <f t="shared" si="9"/>
        <v>Normal</v>
      </c>
      <c r="V70" s="4" t="str">
        <f t="shared" si="10"/>
        <v>Young adult</v>
      </c>
      <c r="W70" s="4" t="str">
        <f t="shared" si="11"/>
        <v>High Bp</v>
      </c>
      <c r="X70" s="4">
        <f t="shared" si="12"/>
        <v>1</v>
      </c>
      <c r="Y70" s="4">
        <f t="shared" si="13"/>
        <v>0</v>
      </c>
      <c r="Z70" s="4">
        <f t="shared" si="14"/>
        <v>1</v>
      </c>
      <c r="AA70" s="4">
        <f t="shared" si="15"/>
        <v>0</v>
      </c>
      <c r="AB70" s="4">
        <f t="shared" si="16"/>
        <v>0</v>
      </c>
      <c r="AC70" s="4">
        <f>SUM(Table1_2[[#This Row],[bp score]],Table1_2[[#This Row],[bmi score]],Table1_2[[#This Row],[Csmoking score]],Table1_2[[#This Row],[Condition score]],Table1_2[[#This Row],[Cholesterol score]],)</f>
        <v>2</v>
      </c>
      <c r="AD70" s="4" t="str">
        <f t="shared" si="17"/>
        <v>Medium risk</v>
      </c>
    </row>
    <row r="71" spans="1:30" x14ac:dyDescent="0.35">
      <c r="A71" s="4" t="s">
        <v>271</v>
      </c>
      <c r="B71" s="4" t="s">
        <v>272</v>
      </c>
      <c r="C71">
        <v>52</v>
      </c>
      <c r="D71" s="4" t="s">
        <v>32</v>
      </c>
      <c r="E71" s="4" t="s">
        <v>161</v>
      </c>
      <c r="F71" s="4" t="s">
        <v>90</v>
      </c>
      <c r="G71">
        <v>19.600000000000001</v>
      </c>
      <c r="H71">
        <v>143</v>
      </c>
      <c r="I71">
        <v>105</v>
      </c>
      <c r="J71">
        <v>161</v>
      </c>
      <c r="K71">
        <v>199</v>
      </c>
      <c r="L71" s="4" t="s">
        <v>860</v>
      </c>
      <c r="M71">
        <v>0</v>
      </c>
      <c r="N71">
        <v>4</v>
      </c>
      <c r="O71" s="4" t="s">
        <v>35</v>
      </c>
      <c r="P71" s="5">
        <v>45552</v>
      </c>
      <c r="Q71">
        <v>19</v>
      </c>
      <c r="R71">
        <v>5</v>
      </c>
      <c r="S71" s="4" t="s">
        <v>78</v>
      </c>
      <c r="T71" s="4" t="s">
        <v>864</v>
      </c>
      <c r="U71" t="str">
        <f t="shared" si="9"/>
        <v>Normal</v>
      </c>
      <c r="V71" s="4" t="str">
        <f t="shared" si="10"/>
        <v>Aged</v>
      </c>
      <c r="W71" s="4" t="str">
        <f t="shared" si="11"/>
        <v>High Bp</v>
      </c>
      <c r="X71" s="4">
        <f t="shared" si="12"/>
        <v>1</v>
      </c>
      <c r="Y71" s="4">
        <f t="shared" si="13"/>
        <v>0</v>
      </c>
      <c r="Z71" s="4">
        <f t="shared" si="14"/>
        <v>0</v>
      </c>
      <c r="AA71" s="4">
        <f t="shared" si="15"/>
        <v>0</v>
      </c>
      <c r="AB71" s="4">
        <f t="shared" si="16"/>
        <v>0</v>
      </c>
      <c r="AC71" s="4">
        <f>SUM(Table1_2[[#This Row],[bp score]],Table1_2[[#This Row],[bmi score]],Table1_2[[#This Row],[Csmoking score]],Table1_2[[#This Row],[Condition score]],Table1_2[[#This Row],[Cholesterol score]],)</f>
        <v>1</v>
      </c>
      <c r="AD71" s="4" t="str">
        <f t="shared" si="17"/>
        <v>Low risk</v>
      </c>
    </row>
    <row r="72" spans="1:30" x14ac:dyDescent="0.35">
      <c r="A72" s="4" t="s">
        <v>274</v>
      </c>
      <c r="B72" s="4" t="s">
        <v>275</v>
      </c>
      <c r="C72">
        <v>48</v>
      </c>
      <c r="D72" s="4" t="s">
        <v>73</v>
      </c>
      <c r="E72" s="4" t="s">
        <v>33</v>
      </c>
      <c r="F72" s="4" t="s">
        <v>117</v>
      </c>
      <c r="G72">
        <v>36.700000000000003</v>
      </c>
      <c r="H72">
        <v>142</v>
      </c>
      <c r="I72">
        <v>64</v>
      </c>
      <c r="J72">
        <v>224</v>
      </c>
      <c r="K72">
        <v>94</v>
      </c>
      <c r="L72" s="4" t="s">
        <v>860</v>
      </c>
      <c r="M72">
        <v>7</v>
      </c>
      <c r="N72">
        <v>7</v>
      </c>
      <c r="O72" s="4" t="s">
        <v>25</v>
      </c>
      <c r="P72" s="5">
        <v>45288</v>
      </c>
      <c r="Q72">
        <v>19</v>
      </c>
      <c r="R72">
        <v>4</v>
      </c>
      <c r="S72" s="4" t="s">
        <v>78</v>
      </c>
      <c r="T72" s="4" t="s">
        <v>863</v>
      </c>
      <c r="U72" t="str">
        <f t="shared" si="9"/>
        <v>Obese</v>
      </c>
      <c r="V72" s="4" t="str">
        <f t="shared" si="10"/>
        <v>Elder</v>
      </c>
      <c r="W72" s="4" t="str">
        <f t="shared" si="11"/>
        <v>High Bp</v>
      </c>
      <c r="X72" s="4">
        <f t="shared" si="12"/>
        <v>1</v>
      </c>
      <c r="Y72" s="4">
        <f t="shared" si="13"/>
        <v>1</v>
      </c>
      <c r="Z72" s="4">
        <f t="shared" si="14"/>
        <v>0</v>
      </c>
      <c r="AA72" s="4">
        <f t="shared" si="15"/>
        <v>0</v>
      </c>
      <c r="AB72" s="4">
        <f t="shared" si="16"/>
        <v>1</v>
      </c>
      <c r="AC72" s="4">
        <f>SUM(Table1_2[[#This Row],[bp score]],Table1_2[[#This Row],[bmi score]],Table1_2[[#This Row],[Csmoking score]],Table1_2[[#This Row],[Condition score]],Table1_2[[#This Row],[Cholesterol score]],)</f>
        <v>3</v>
      </c>
      <c r="AD72" s="4" t="str">
        <f t="shared" si="17"/>
        <v>Medium risk</v>
      </c>
    </row>
    <row r="73" spans="1:30" x14ac:dyDescent="0.35">
      <c r="A73" s="4" t="s">
        <v>277</v>
      </c>
      <c r="B73" s="4" t="s">
        <v>278</v>
      </c>
      <c r="C73">
        <v>44</v>
      </c>
      <c r="D73" s="4" t="s">
        <v>32</v>
      </c>
      <c r="E73" s="4" t="s">
        <v>65</v>
      </c>
      <c r="F73" s="4" t="s">
        <v>24</v>
      </c>
      <c r="G73">
        <v>31.9</v>
      </c>
      <c r="H73">
        <v>110</v>
      </c>
      <c r="I73">
        <v>79</v>
      </c>
      <c r="J73">
        <v>236</v>
      </c>
      <c r="K73">
        <v>234</v>
      </c>
      <c r="L73" s="4" t="s">
        <v>860</v>
      </c>
      <c r="M73">
        <v>2</v>
      </c>
      <c r="N73">
        <v>9</v>
      </c>
      <c r="O73" s="4" t="s">
        <v>35</v>
      </c>
      <c r="P73" s="5">
        <v>45547</v>
      </c>
      <c r="Q73">
        <v>0</v>
      </c>
      <c r="R73">
        <v>11</v>
      </c>
      <c r="S73" s="4" t="s">
        <v>78</v>
      </c>
      <c r="T73" s="4" t="s">
        <v>864</v>
      </c>
      <c r="U73" t="str">
        <f t="shared" si="9"/>
        <v>Obese</v>
      </c>
      <c r="V73" s="4" t="str">
        <f t="shared" si="10"/>
        <v>Elder</v>
      </c>
      <c r="W73" s="4" t="str">
        <f t="shared" si="11"/>
        <v>Normal</v>
      </c>
      <c r="X73" s="4">
        <f t="shared" si="12"/>
        <v>0</v>
      </c>
      <c r="Y73" s="4">
        <f t="shared" si="13"/>
        <v>1</v>
      </c>
      <c r="Z73" s="4">
        <f t="shared" si="14"/>
        <v>0</v>
      </c>
      <c r="AA73" s="4">
        <f t="shared" si="15"/>
        <v>0</v>
      </c>
      <c r="AB73" s="4">
        <f t="shared" si="16"/>
        <v>1</v>
      </c>
      <c r="AC73" s="4">
        <f>SUM(Table1_2[[#This Row],[bp score]],Table1_2[[#This Row],[bmi score]],Table1_2[[#This Row],[Csmoking score]],Table1_2[[#This Row],[Condition score]],Table1_2[[#This Row],[Cholesterol score]],)</f>
        <v>2</v>
      </c>
      <c r="AD73" s="4" t="str">
        <f t="shared" si="17"/>
        <v>Medium risk</v>
      </c>
    </row>
    <row r="74" spans="1:30" x14ac:dyDescent="0.35">
      <c r="A74" s="4" t="s">
        <v>280</v>
      </c>
      <c r="B74" s="4" t="s">
        <v>281</v>
      </c>
      <c r="C74">
        <v>53</v>
      </c>
      <c r="D74" s="4" t="s">
        <v>73</v>
      </c>
      <c r="E74" s="4" t="s">
        <v>23</v>
      </c>
      <c r="F74" s="4" t="s">
        <v>24</v>
      </c>
      <c r="G74">
        <v>20.9</v>
      </c>
      <c r="H74">
        <v>137</v>
      </c>
      <c r="I74">
        <v>66</v>
      </c>
      <c r="J74">
        <v>269</v>
      </c>
      <c r="K74">
        <v>208</v>
      </c>
      <c r="L74" s="4" t="s">
        <v>860</v>
      </c>
      <c r="M74">
        <v>0</v>
      </c>
      <c r="N74">
        <v>6</v>
      </c>
      <c r="O74" s="4" t="s">
        <v>25</v>
      </c>
      <c r="P74" s="5">
        <v>45357</v>
      </c>
      <c r="Q74">
        <v>5</v>
      </c>
      <c r="R74">
        <v>19</v>
      </c>
      <c r="S74" s="4" t="s">
        <v>60</v>
      </c>
      <c r="T74" s="4" t="s">
        <v>100</v>
      </c>
      <c r="U74" t="str">
        <f t="shared" si="9"/>
        <v>Normal</v>
      </c>
      <c r="V74" s="4" t="str">
        <f t="shared" si="10"/>
        <v>Aged</v>
      </c>
      <c r="W74" s="4" t="str">
        <f t="shared" si="11"/>
        <v>High Bp</v>
      </c>
      <c r="X74" s="4">
        <f t="shared" si="12"/>
        <v>1</v>
      </c>
      <c r="Y74" s="4">
        <f t="shared" si="13"/>
        <v>0</v>
      </c>
      <c r="Z74" s="4">
        <f t="shared" si="14"/>
        <v>0</v>
      </c>
      <c r="AA74" s="4">
        <f t="shared" si="15"/>
        <v>1</v>
      </c>
      <c r="AB74" s="4">
        <f t="shared" si="16"/>
        <v>1</v>
      </c>
      <c r="AC74" s="4">
        <f>SUM(Table1_2[[#This Row],[bp score]],Table1_2[[#This Row],[bmi score]],Table1_2[[#This Row],[Csmoking score]],Table1_2[[#This Row],[Condition score]],Table1_2[[#This Row],[Cholesterol score]],)</f>
        <v>3</v>
      </c>
      <c r="AD74" s="4" t="str">
        <f t="shared" si="17"/>
        <v>Medium risk</v>
      </c>
    </row>
    <row r="75" spans="1:30" x14ac:dyDescent="0.35">
      <c r="A75" s="4" t="s">
        <v>283</v>
      </c>
      <c r="B75" s="4" t="s">
        <v>284</v>
      </c>
      <c r="C75">
        <v>45</v>
      </c>
      <c r="D75" s="4" t="s">
        <v>73</v>
      </c>
      <c r="E75" s="4" t="s">
        <v>161</v>
      </c>
      <c r="F75" s="4" t="s">
        <v>66</v>
      </c>
      <c r="G75">
        <v>24.1</v>
      </c>
      <c r="H75">
        <v>157</v>
      </c>
      <c r="I75">
        <v>74</v>
      </c>
      <c r="J75">
        <v>276</v>
      </c>
      <c r="K75">
        <v>131</v>
      </c>
      <c r="L75" s="4" t="s">
        <v>859</v>
      </c>
      <c r="M75">
        <v>7</v>
      </c>
      <c r="N75">
        <v>4</v>
      </c>
      <c r="O75" s="4" t="s">
        <v>35</v>
      </c>
      <c r="P75" s="5">
        <v>45529</v>
      </c>
      <c r="Q75">
        <v>9</v>
      </c>
      <c r="R75">
        <v>12</v>
      </c>
      <c r="S75" s="4" t="s">
        <v>38</v>
      </c>
      <c r="T75" s="4" t="s">
        <v>100</v>
      </c>
      <c r="U75" t="str">
        <f t="shared" si="9"/>
        <v>Normal</v>
      </c>
      <c r="V75" s="4" t="str">
        <f t="shared" si="10"/>
        <v>Elder</v>
      </c>
      <c r="W75" s="4" t="str">
        <f t="shared" si="11"/>
        <v>High Bp</v>
      </c>
      <c r="X75" s="4">
        <f t="shared" si="12"/>
        <v>1</v>
      </c>
      <c r="Y75" s="4">
        <f t="shared" si="13"/>
        <v>0</v>
      </c>
      <c r="Z75" s="4">
        <f t="shared" si="14"/>
        <v>1</v>
      </c>
      <c r="AA75" s="4">
        <f t="shared" si="15"/>
        <v>1</v>
      </c>
      <c r="AB75" s="4">
        <f t="shared" si="16"/>
        <v>1</v>
      </c>
      <c r="AC75" s="4">
        <f>SUM(Table1_2[[#This Row],[bp score]],Table1_2[[#This Row],[bmi score]],Table1_2[[#This Row],[Csmoking score]],Table1_2[[#This Row],[Condition score]],Table1_2[[#This Row],[Cholesterol score]],)</f>
        <v>4</v>
      </c>
      <c r="AD75" s="4" t="str">
        <f t="shared" si="17"/>
        <v>High risk</v>
      </c>
    </row>
    <row r="76" spans="1:30" x14ac:dyDescent="0.35">
      <c r="A76" s="4" t="s">
        <v>857</v>
      </c>
      <c r="B76" s="4" t="s">
        <v>286</v>
      </c>
      <c r="C76">
        <v>34</v>
      </c>
      <c r="D76" s="4" t="s">
        <v>32</v>
      </c>
      <c r="E76" s="4" t="s">
        <v>74</v>
      </c>
      <c r="F76" s="4" t="s">
        <v>117</v>
      </c>
      <c r="G76">
        <v>33</v>
      </c>
      <c r="H76">
        <v>147</v>
      </c>
      <c r="I76">
        <v>95</v>
      </c>
      <c r="J76">
        <v>166</v>
      </c>
      <c r="K76">
        <v>202</v>
      </c>
      <c r="L76" s="4" t="s">
        <v>860</v>
      </c>
      <c r="M76">
        <v>4</v>
      </c>
      <c r="N76">
        <v>2</v>
      </c>
      <c r="O76" s="4" t="s">
        <v>25</v>
      </c>
      <c r="P76" s="5">
        <v>45155</v>
      </c>
      <c r="Q76">
        <v>4</v>
      </c>
      <c r="R76">
        <v>13</v>
      </c>
      <c r="S76" s="4" t="s">
        <v>92</v>
      </c>
      <c r="T76" s="4" t="s">
        <v>862</v>
      </c>
      <c r="U76" t="str">
        <f t="shared" si="9"/>
        <v>Obese</v>
      </c>
      <c r="V76" s="4" t="str">
        <f t="shared" si="10"/>
        <v>Adult</v>
      </c>
      <c r="W76" s="4" t="str">
        <f t="shared" si="11"/>
        <v>High Bp</v>
      </c>
      <c r="X76" s="4">
        <f t="shared" si="12"/>
        <v>1</v>
      </c>
      <c r="Y76" s="4">
        <f t="shared" si="13"/>
        <v>1</v>
      </c>
      <c r="Z76" s="4">
        <f t="shared" si="14"/>
        <v>0</v>
      </c>
      <c r="AA76" s="4">
        <f t="shared" si="15"/>
        <v>1</v>
      </c>
      <c r="AB76" s="4">
        <f t="shared" si="16"/>
        <v>0</v>
      </c>
      <c r="AC76" s="4">
        <f>SUM(Table1_2[[#This Row],[bp score]],Table1_2[[#This Row],[bmi score]],Table1_2[[#This Row],[Csmoking score]],Table1_2[[#This Row],[Condition score]],Table1_2[[#This Row],[Cholesterol score]],)</f>
        <v>3</v>
      </c>
      <c r="AD76" s="4" t="str">
        <f t="shared" si="17"/>
        <v>Medium risk</v>
      </c>
    </row>
    <row r="77" spans="1:30" x14ac:dyDescent="0.35">
      <c r="A77" s="4" t="s">
        <v>288</v>
      </c>
      <c r="B77" s="4" t="s">
        <v>289</v>
      </c>
      <c r="C77">
        <v>23</v>
      </c>
      <c r="D77" s="4" t="s">
        <v>32</v>
      </c>
      <c r="E77" s="4" t="s">
        <v>161</v>
      </c>
      <c r="F77" s="4" t="s">
        <v>82</v>
      </c>
      <c r="G77">
        <v>29.6</v>
      </c>
      <c r="H77">
        <v>130</v>
      </c>
      <c r="I77">
        <v>84</v>
      </c>
      <c r="J77">
        <v>160</v>
      </c>
      <c r="K77">
        <v>165</v>
      </c>
      <c r="L77" s="4" t="s">
        <v>861</v>
      </c>
      <c r="M77">
        <v>0</v>
      </c>
      <c r="N77">
        <v>6</v>
      </c>
      <c r="O77" s="4" t="s">
        <v>35</v>
      </c>
      <c r="P77" s="5">
        <v>44990</v>
      </c>
      <c r="Q77">
        <v>1</v>
      </c>
      <c r="R77">
        <v>9</v>
      </c>
      <c r="S77" s="4" t="s">
        <v>92</v>
      </c>
      <c r="T77" s="4" t="s">
        <v>864</v>
      </c>
      <c r="U77" t="str">
        <f t="shared" si="9"/>
        <v>Overweight</v>
      </c>
      <c r="V77" s="4" t="str">
        <f t="shared" si="10"/>
        <v>Young adult</v>
      </c>
      <c r="W77" s="4" t="str">
        <f t="shared" si="11"/>
        <v>High Bp</v>
      </c>
      <c r="X77" s="4">
        <f t="shared" si="12"/>
        <v>1</v>
      </c>
      <c r="Y77" s="4">
        <f t="shared" si="13"/>
        <v>0</v>
      </c>
      <c r="Z77" s="4">
        <f t="shared" si="14"/>
        <v>0</v>
      </c>
      <c r="AA77" s="4">
        <f t="shared" si="15"/>
        <v>1</v>
      </c>
      <c r="AB77" s="4">
        <f t="shared" si="16"/>
        <v>0</v>
      </c>
      <c r="AC77" s="4">
        <f>SUM(Table1_2[[#This Row],[bp score]],Table1_2[[#This Row],[bmi score]],Table1_2[[#This Row],[Csmoking score]],Table1_2[[#This Row],[Condition score]],Table1_2[[#This Row],[Cholesterol score]],)</f>
        <v>2</v>
      </c>
      <c r="AD77" s="4" t="str">
        <f t="shared" si="17"/>
        <v>Medium risk</v>
      </c>
    </row>
    <row r="78" spans="1:30" x14ac:dyDescent="0.35">
      <c r="A78" s="4" t="s">
        <v>291</v>
      </c>
      <c r="B78" s="4" t="s">
        <v>292</v>
      </c>
      <c r="C78">
        <v>61</v>
      </c>
      <c r="D78" s="4" t="s">
        <v>32</v>
      </c>
      <c r="E78" s="4" t="s">
        <v>131</v>
      </c>
      <c r="F78" s="4" t="s">
        <v>117</v>
      </c>
      <c r="G78">
        <v>23.4</v>
      </c>
      <c r="H78">
        <v>119</v>
      </c>
      <c r="I78">
        <v>95</v>
      </c>
      <c r="J78">
        <v>275</v>
      </c>
      <c r="K78">
        <v>178</v>
      </c>
      <c r="L78" s="4" t="s">
        <v>860</v>
      </c>
      <c r="M78">
        <v>4</v>
      </c>
      <c r="N78">
        <v>4</v>
      </c>
      <c r="O78" s="4" t="s">
        <v>25</v>
      </c>
      <c r="P78" s="5">
        <v>44204</v>
      </c>
      <c r="Q78">
        <v>13</v>
      </c>
      <c r="R78">
        <v>20</v>
      </c>
      <c r="S78" s="4" t="s">
        <v>46</v>
      </c>
      <c r="T78" s="4" t="s">
        <v>100</v>
      </c>
      <c r="U78" t="str">
        <f t="shared" si="9"/>
        <v>Normal</v>
      </c>
      <c r="V78" s="4" t="str">
        <f t="shared" si="10"/>
        <v>Aged</v>
      </c>
      <c r="W78" s="4" t="str">
        <f t="shared" si="11"/>
        <v>High Bp</v>
      </c>
      <c r="X78" s="4">
        <f t="shared" si="12"/>
        <v>1</v>
      </c>
      <c r="Y78" s="4">
        <f t="shared" si="13"/>
        <v>0</v>
      </c>
      <c r="Z78" s="4">
        <f t="shared" si="14"/>
        <v>0</v>
      </c>
      <c r="AA78" s="4">
        <f t="shared" si="15"/>
        <v>0</v>
      </c>
      <c r="AB78" s="4">
        <f t="shared" si="16"/>
        <v>1</v>
      </c>
      <c r="AC78" s="4">
        <f>SUM(Table1_2[[#This Row],[bp score]],Table1_2[[#This Row],[bmi score]],Table1_2[[#This Row],[Csmoking score]],Table1_2[[#This Row],[Condition score]],Table1_2[[#This Row],[Cholesterol score]],)</f>
        <v>2</v>
      </c>
      <c r="AD78" s="4" t="str">
        <f t="shared" si="17"/>
        <v>Medium risk</v>
      </c>
    </row>
    <row r="79" spans="1:30" x14ac:dyDescent="0.35">
      <c r="A79" s="4" t="s">
        <v>294</v>
      </c>
      <c r="B79" s="4" t="s">
        <v>295</v>
      </c>
      <c r="C79">
        <v>53</v>
      </c>
      <c r="D79" s="4" t="s">
        <v>32</v>
      </c>
      <c r="E79" s="4" t="s">
        <v>131</v>
      </c>
      <c r="F79" s="4" t="s">
        <v>66</v>
      </c>
      <c r="G79">
        <v>23</v>
      </c>
      <c r="H79">
        <v>118</v>
      </c>
      <c r="I79">
        <v>78</v>
      </c>
      <c r="J79">
        <v>249</v>
      </c>
      <c r="K79">
        <v>70</v>
      </c>
      <c r="L79" s="4" t="s">
        <v>100</v>
      </c>
      <c r="M79">
        <v>5</v>
      </c>
      <c r="N79">
        <v>4</v>
      </c>
      <c r="O79" s="4" t="s">
        <v>25</v>
      </c>
      <c r="P79" s="5">
        <v>44887</v>
      </c>
      <c r="Q79">
        <v>2</v>
      </c>
      <c r="R79">
        <v>16</v>
      </c>
      <c r="S79" s="4" t="s">
        <v>78</v>
      </c>
      <c r="T79" s="4" t="s">
        <v>863</v>
      </c>
      <c r="U79" t="str">
        <f t="shared" si="9"/>
        <v>Normal</v>
      </c>
      <c r="V79" s="4" t="str">
        <f t="shared" si="10"/>
        <v>Aged</v>
      </c>
      <c r="W79" s="4" t="str">
        <f t="shared" si="11"/>
        <v>Normal</v>
      </c>
      <c r="X79" s="4">
        <f t="shared" si="12"/>
        <v>0</v>
      </c>
      <c r="Y79" s="4">
        <f t="shared" si="13"/>
        <v>0</v>
      </c>
      <c r="Z79" s="4">
        <f t="shared" si="14"/>
        <v>0</v>
      </c>
      <c r="AA79" s="4">
        <f t="shared" si="15"/>
        <v>0</v>
      </c>
      <c r="AB79" s="4">
        <f t="shared" si="16"/>
        <v>1</v>
      </c>
      <c r="AC79" s="4">
        <f>SUM(Table1_2[[#This Row],[bp score]],Table1_2[[#This Row],[bmi score]],Table1_2[[#This Row],[Csmoking score]],Table1_2[[#This Row],[Condition score]],Table1_2[[#This Row],[Cholesterol score]],)</f>
        <v>1</v>
      </c>
      <c r="AD79" s="4" t="str">
        <f t="shared" si="17"/>
        <v>Low risk</v>
      </c>
    </row>
    <row r="80" spans="1:30" x14ac:dyDescent="0.35">
      <c r="A80" s="4" t="s">
        <v>297</v>
      </c>
      <c r="B80" s="4" t="s">
        <v>298</v>
      </c>
      <c r="C80">
        <v>54</v>
      </c>
      <c r="D80" s="4" t="s">
        <v>32</v>
      </c>
      <c r="E80" s="4" t="s">
        <v>65</v>
      </c>
      <c r="F80" s="4" t="s">
        <v>90</v>
      </c>
      <c r="G80">
        <v>18.100000000000001</v>
      </c>
      <c r="H80">
        <v>149</v>
      </c>
      <c r="I80">
        <v>83</v>
      </c>
      <c r="J80">
        <v>204</v>
      </c>
      <c r="K80">
        <v>74</v>
      </c>
      <c r="L80" s="4" t="s">
        <v>860</v>
      </c>
      <c r="M80">
        <v>1</v>
      </c>
      <c r="N80">
        <v>6</v>
      </c>
      <c r="O80" s="4" t="s">
        <v>35</v>
      </c>
      <c r="P80" s="5">
        <v>44493</v>
      </c>
      <c r="Q80">
        <v>10</v>
      </c>
      <c r="R80">
        <v>4</v>
      </c>
      <c r="S80" s="4" t="s">
        <v>99</v>
      </c>
      <c r="T80" s="4" t="s">
        <v>864</v>
      </c>
      <c r="U80" t="str">
        <f t="shared" si="9"/>
        <v>Underweight</v>
      </c>
      <c r="V80" s="4" t="str">
        <f t="shared" si="10"/>
        <v>Aged</v>
      </c>
      <c r="W80" s="4" t="str">
        <f t="shared" si="11"/>
        <v>High Bp</v>
      </c>
      <c r="X80" s="4">
        <f t="shared" si="12"/>
        <v>1</v>
      </c>
      <c r="Y80" s="4">
        <f t="shared" si="13"/>
        <v>0</v>
      </c>
      <c r="Z80" s="4">
        <f t="shared" si="14"/>
        <v>0</v>
      </c>
      <c r="AA80" s="4">
        <f t="shared" si="15"/>
        <v>1</v>
      </c>
      <c r="AB80" s="4">
        <f t="shared" si="16"/>
        <v>1</v>
      </c>
      <c r="AC80" s="4">
        <f>SUM(Table1_2[[#This Row],[bp score]],Table1_2[[#This Row],[bmi score]],Table1_2[[#This Row],[Csmoking score]],Table1_2[[#This Row],[Condition score]],Table1_2[[#This Row],[Cholesterol score]],)</f>
        <v>3</v>
      </c>
      <c r="AD80" s="4" t="str">
        <f t="shared" si="17"/>
        <v>Medium risk</v>
      </c>
    </row>
    <row r="81" spans="1:30" x14ac:dyDescent="0.35">
      <c r="A81" s="4" t="s">
        <v>300</v>
      </c>
      <c r="B81" s="4" t="s">
        <v>301</v>
      </c>
      <c r="C81">
        <v>33</v>
      </c>
      <c r="D81" s="4" t="s">
        <v>73</v>
      </c>
      <c r="E81" s="4" t="s">
        <v>161</v>
      </c>
      <c r="F81" s="4" t="s">
        <v>24</v>
      </c>
      <c r="G81">
        <v>37.299999999999997</v>
      </c>
      <c r="H81">
        <v>134</v>
      </c>
      <c r="I81">
        <v>105</v>
      </c>
      <c r="J81">
        <v>257</v>
      </c>
      <c r="K81">
        <v>79</v>
      </c>
      <c r="L81" s="4" t="s">
        <v>859</v>
      </c>
      <c r="M81">
        <v>3</v>
      </c>
      <c r="N81">
        <v>1</v>
      </c>
      <c r="O81" s="4" t="s">
        <v>35</v>
      </c>
      <c r="P81" s="5">
        <v>44357</v>
      </c>
      <c r="Q81">
        <v>16</v>
      </c>
      <c r="R81">
        <v>12</v>
      </c>
      <c r="S81" s="4" t="s">
        <v>38</v>
      </c>
      <c r="T81" s="4" t="s">
        <v>100</v>
      </c>
      <c r="U81" t="str">
        <f t="shared" si="9"/>
        <v>Obese</v>
      </c>
      <c r="V81" s="4" t="str">
        <f t="shared" si="10"/>
        <v>Adult</v>
      </c>
      <c r="W81" s="4" t="str">
        <f t="shared" si="11"/>
        <v>High Bp</v>
      </c>
      <c r="X81" s="4">
        <f t="shared" si="12"/>
        <v>1</v>
      </c>
      <c r="Y81" s="4">
        <f t="shared" si="13"/>
        <v>1</v>
      </c>
      <c r="Z81" s="4">
        <f t="shared" si="14"/>
        <v>1</v>
      </c>
      <c r="AA81" s="4">
        <f t="shared" si="15"/>
        <v>1</v>
      </c>
      <c r="AB81" s="4">
        <f t="shared" si="16"/>
        <v>1</v>
      </c>
      <c r="AC81" s="4">
        <f>SUM(Table1_2[[#This Row],[bp score]],Table1_2[[#This Row],[bmi score]],Table1_2[[#This Row],[Csmoking score]],Table1_2[[#This Row],[Condition score]],Table1_2[[#This Row],[Cholesterol score]],)</f>
        <v>5</v>
      </c>
      <c r="AD81" s="4" t="str">
        <f t="shared" si="17"/>
        <v>High risk</v>
      </c>
    </row>
    <row r="82" spans="1:30" x14ac:dyDescent="0.35">
      <c r="A82" s="4" t="s">
        <v>303</v>
      </c>
      <c r="B82" s="4" t="s">
        <v>304</v>
      </c>
      <c r="C82">
        <v>34</v>
      </c>
      <c r="D82" s="4" t="s">
        <v>32</v>
      </c>
      <c r="E82" s="4" t="s">
        <v>127</v>
      </c>
      <c r="F82" s="4" t="s">
        <v>117</v>
      </c>
      <c r="G82">
        <v>38.6</v>
      </c>
      <c r="H82">
        <v>142</v>
      </c>
      <c r="I82">
        <v>77</v>
      </c>
      <c r="J82">
        <v>171</v>
      </c>
      <c r="K82">
        <v>164</v>
      </c>
      <c r="L82" s="4" t="s">
        <v>860</v>
      </c>
      <c r="M82">
        <v>6</v>
      </c>
      <c r="N82">
        <v>8</v>
      </c>
      <c r="O82" s="4" t="s">
        <v>25</v>
      </c>
      <c r="P82" s="5">
        <v>45001</v>
      </c>
      <c r="Q82">
        <v>15</v>
      </c>
      <c r="R82">
        <v>11</v>
      </c>
      <c r="S82" s="4" t="s">
        <v>38</v>
      </c>
      <c r="T82" s="4" t="s">
        <v>863</v>
      </c>
      <c r="U82" t="str">
        <f t="shared" si="9"/>
        <v>Obese</v>
      </c>
      <c r="V82" s="4" t="str">
        <f t="shared" si="10"/>
        <v>Adult</v>
      </c>
      <c r="W82" s="4" t="str">
        <f t="shared" si="11"/>
        <v>High Bp</v>
      </c>
      <c r="X82" s="4">
        <f t="shared" si="12"/>
        <v>1</v>
      </c>
      <c r="Y82" s="4">
        <f t="shared" si="13"/>
        <v>1</v>
      </c>
      <c r="Z82" s="4">
        <f t="shared" si="14"/>
        <v>0</v>
      </c>
      <c r="AA82" s="4">
        <f t="shared" si="15"/>
        <v>1</v>
      </c>
      <c r="AB82" s="4">
        <f t="shared" si="16"/>
        <v>0</v>
      </c>
      <c r="AC82" s="4">
        <f>SUM(Table1_2[[#This Row],[bp score]],Table1_2[[#This Row],[bmi score]],Table1_2[[#This Row],[Csmoking score]],Table1_2[[#This Row],[Condition score]],Table1_2[[#This Row],[Cholesterol score]],)</f>
        <v>3</v>
      </c>
      <c r="AD82" s="4" t="str">
        <f t="shared" si="17"/>
        <v>Medium risk</v>
      </c>
    </row>
    <row r="83" spans="1:30" x14ac:dyDescent="0.35">
      <c r="A83" s="4" t="s">
        <v>306</v>
      </c>
      <c r="B83" s="4" t="s">
        <v>307</v>
      </c>
      <c r="C83">
        <v>27</v>
      </c>
      <c r="D83" s="4" t="s">
        <v>32</v>
      </c>
      <c r="E83" s="4" t="s">
        <v>33</v>
      </c>
      <c r="F83" s="4" t="s">
        <v>24</v>
      </c>
      <c r="G83">
        <v>30.6</v>
      </c>
      <c r="H83">
        <v>141</v>
      </c>
      <c r="I83">
        <v>66</v>
      </c>
      <c r="J83">
        <v>160</v>
      </c>
      <c r="K83">
        <v>153</v>
      </c>
      <c r="L83" s="4" t="s">
        <v>859</v>
      </c>
      <c r="M83">
        <v>4</v>
      </c>
      <c r="N83">
        <v>8</v>
      </c>
      <c r="O83" s="4" t="s">
        <v>25</v>
      </c>
      <c r="P83" s="5">
        <v>44910</v>
      </c>
      <c r="Q83">
        <v>11</v>
      </c>
      <c r="R83">
        <v>14</v>
      </c>
      <c r="S83" s="4" t="s">
        <v>99</v>
      </c>
      <c r="T83" s="4" t="s">
        <v>864</v>
      </c>
      <c r="U83" t="str">
        <f t="shared" si="9"/>
        <v>Obese</v>
      </c>
      <c r="V83" s="4" t="str">
        <f t="shared" si="10"/>
        <v>Young adult</v>
      </c>
      <c r="W83" s="4" t="str">
        <f t="shared" si="11"/>
        <v>High Bp</v>
      </c>
      <c r="X83" s="4">
        <f t="shared" si="12"/>
        <v>1</v>
      </c>
      <c r="Y83" s="4">
        <f t="shared" si="13"/>
        <v>1</v>
      </c>
      <c r="Z83" s="4">
        <f t="shared" si="14"/>
        <v>1</v>
      </c>
      <c r="AA83" s="4">
        <f t="shared" si="15"/>
        <v>1</v>
      </c>
      <c r="AB83" s="4">
        <f t="shared" si="16"/>
        <v>0</v>
      </c>
      <c r="AC83" s="4">
        <f>SUM(Table1_2[[#This Row],[bp score]],Table1_2[[#This Row],[bmi score]],Table1_2[[#This Row],[Csmoking score]],Table1_2[[#This Row],[Condition score]],Table1_2[[#This Row],[Cholesterol score]],)</f>
        <v>4</v>
      </c>
      <c r="AD83" s="4" t="str">
        <f t="shared" si="17"/>
        <v>High risk</v>
      </c>
    </row>
    <row r="84" spans="1:30" x14ac:dyDescent="0.35">
      <c r="A84" s="4" t="s">
        <v>309</v>
      </c>
      <c r="B84" s="4" t="s">
        <v>310</v>
      </c>
      <c r="C84">
        <v>39</v>
      </c>
      <c r="D84" s="4" t="s">
        <v>32</v>
      </c>
      <c r="E84" s="4" t="s">
        <v>131</v>
      </c>
      <c r="F84" s="4" t="s">
        <v>82</v>
      </c>
      <c r="G84">
        <v>26.1</v>
      </c>
      <c r="H84">
        <v>120</v>
      </c>
      <c r="I84">
        <v>61</v>
      </c>
      <c r="J84">
        <v>176</v>
      </c>
      <c r="K84">
        <v>225</v>
      </c>
      <c r="L84" s="4" t="s">
        <v>859</v>
      </c>
      <c r="M84">
        <v>0</v>
      </c>
      <c r="N84">
        <v>3</v>
      </c>
      <c r="O84" s="4" t="s">
        <v>35</v>
      </c>
      <c r="P84" s="5">
        <v>44877</v>
      </c>
      <c r="Q84">
        <v>11</v>
      </c>
      <c r="R84">
        <v>12</v>
      </c>
      <c r="S84" s="4" t="s">
        <v>46</v>
      </c>
      <c r="T84" s="4" t="s">
        <v>862</v>
      </c>
      <c r="U84" t="str">
        <f t="shared" si="9"/>
        <v>Overweight</v>
      </c>
      <c r="V84" s="4" t="str">
        <f t="shared" si="10"/>
        <v>Adult</v>
      </c>
      <c r="W84" s="4" t="str">
        <f t="shared" si="11"/>
        <v>Elevated</v>
      </c>
      <c r="X84" s="4">
        <f t="shared" si="12"/>
        <v>0</v>
      </c>
      <c r="Y84" s="4">
        <f t="shared" si="13"/>
        <v>0</v>
      </c>
      <c r="Z84" s="4">
        <f t="shared" si="14"/>
        <v>1</v>
      </c>
      <c r="AA84" s="4">
        <f t="shared" si="15"/>
        <v>0</v>
      </c>
      <c r="AB84" s="4">
        <f t="shared" si="16"/>
        <v>0</v>
      </c>
      <c r="AC84" s="4">
        <f>SUM(Table1_2[[#This Row],[bp score]],Table1_2[[#This Row],[bmi score]],Table1_2[[#This Row],[Csmoking score]],Table1_2[[#This Row],[Condition score]],Table1_2[[#This Row],[Cholesterol score]],)</f>
        <v>1</v>
      </c>
      <c r="AD84" s="4" t="str">
        <f t="shared" si="17"/>
        <v>Low risk</v>
      </c>
    </row>
    <row r="85" spans="1:30" x14ac:dyDescent="0.35">
      <c r="A85" s="4" t="s">
        <v>312</v>
      </c>
      <c r="B85" s="4" t="s">
        <v>313</v>
      </c>
      <c r="C85">
        <v>50</v>
      </c>
      <c r="D85" s="4" t="s">
        <v>73</v>
      </c>
      <c r="E85" s="4" t="s">
        <v>127</v>
      </c>
      <c r="F85" s="4" t="s">
        <v>90</v>
      </c>
      <c r="G85">
        <v>36.1</v>
      </c>
      <c r="H85">
        <v>117</v>
      </c>
      <c r="I85">
        <v>93</v>
      </c>
      <c r="J85">
        <v>233</v>
      </c>
      <c r="K85">
        <v>171</v>
      </c>
      <c r="L85" s="4" t="s">
        <v>860</v>
      </c>
      <c r="M85">
        <v>7</v>
      </c>
      <c r="N85">
        <v>5</v>
      </c>
      <c r="O85" s="4" t="s">
        <v>35</v>
      </c>
      <c r="P85" s="5">
        <v>44220</v>
      </c>
      <c r="Q85">
        <v>5</v>
      </c>
      <c r="R85">
        <v>15</v>
      </c>
      <c r="S85" s="4" t="s">
        <v>38</v>
      </c>
      <c r="T85" s="4" t="s">
        <v>100</v>
      </c>
      <c r="U85" t="str">
        <f t="shared" si="9"/>
        <v>Obese</v>
      </c>
      <c r="V85" s="4" t="str">
        <f t="shared" si="10"/>
        <v>Elder</v>
      </c>
      <c r="W85" s="4" t="str">
        <f t="shared" si="11"/>
        <v>High Bp</v>
      </c>
      <c r="X85" s="4">
        <f t="shared" si="12"/>
        <v>1</v>
      </c>
      <c r="Y85" s="4">
        <f t="shared" si="13"/>
        <v>1</v>
      </c>
      <c r="Z85" s="4">
        <f t="shared" si="14"/>
        <v>0</v>
      </c>
      <c r="AA85" s="4">
        <f t="shared" si="15"/>
        <v>1</v>
      </c>
      <c r="AB85" s="4">
        <f t="shared" si="16"/>
        <v>1</v>
      </c>
      <c r="AC85" s="4">
        <f>SUM(Table1_2[[#This Row],[bp score]],Table1_2[[#This Row],[bmi score]],Table1_2[[#This Row],[Csmoking score]],Table1_2[[#This Row],[Condition score]],Table1_2[[#This Row],[Cholesterol score]],)</f>
        <v>4</v>
      </c>
      <c r="AD85" s="4" t="str">
        <f t="shared" si="17"/>
        <v>High risk</v>
      </c>
    </row>
    <row r="86" spans="1:30" x14ac:dyDescent="0.35">
      <c r="A86" s="4" t="s">
        <v>315</v>
      </c>
      <c r="B86" s="4" t="s">
        <v>316</v>
      </c>
      <c r="C86">
        <v>38</v>
      </c>
      <c r="D86" s="4" t="s">
        <v>32</v>
      </c>
      <c r="E86" s="4" t="s">
        <v>161</v>
      </c>
      <c r="F86" s="4" t="s">
        <v>52</v>
      </c>
      <c r="G86">
        <v>41.9</v>
      </c>
      <c r="H86">
        <v>136</v>
      </c>
      <c r="I86">
        <v>104</v>
      </c>
      <c r="J86">
        <v>265</v>
      </c>
      <c r="K86">
        <v>121</v>
      </c>
      <c r="L86" s="4" t="s">
        <v>860</v>
      </c>
      <c r="M86">
        <v>2</v>
      </c>
      <c r="N86">
        <v>2</v>
      </c>
      <c r="O86" s="4" t="s">
        <v>35</v>
      </c>
      <c r="P86" s="5">
        <v>44910</v>
      </c>
      <c r="Q86">
        <v>2</v>
      </c>
      <c r="R86">
        <v>10</v>
      </c>
      <c r="S86" s="4" t="s">
        <v>78</v>
      </c>
      <c r="T86" s="4" t="s">
        <v>864</v>
      </c>
      <c r="U86" t="str">
        <f t="shared" si="9"/>
        <v>Obese</v>
      </c>
      <c r="V86" s="4" t="str">
        <f t="shared" si="10"/>
        <v>Adult</v>
      </c>
      <c r="W86" s="4" t="str">
        <f t="shared" si="11"/>
        <v>High Bp</v>
      </c>
      <c r="X86" s="4">
        <f t="shared" si="12"/>
        <v>1</v>
      </c>
      <c r="Y86" s="4">
        <f t="shared" si="13"/>
        <v>1</v>
      </c>
      <c r="Z86" s="4">
        <f t="shared" si="14"/>
        <v>0</v>
      </c>
      <c r="AA86" s="4">
        <f t="shared" si="15"/>
        <v>0</v>
      </c>
      <c r="AB86" s="4">
        <f t="shared" si="16"/>
        <v>1</v>
      </c>
      <c r="AC86" s="4">
        <f>SUM(Table1_2[[#This Row],[bp score]],Table1_2[[#This Row],[bmi score]],Table1_2[[#This Row],[Csmoking score]],Table1_2[[#This Row],[Condition score]],Table1_2[[#This Row],[Cholesterol score]],)</f>
        <v>3</v>
      </c>
      <c r="AD86" s="4" t="str">
        <f t="shared" si="17"/>
        <v>Medium risk</v>
      </c>
    </row>
    <row r="87" spans="1:30" x14ac:dyDescent="0.35">
      <c r="A87" s="4" t="s">
        <v>317</v>
      </c>
      <c r="B87" s="4" t="s">
        <v>110</v>
      </c>
      <c r="C87">
        <v>56</v>
      </c>
      <c r="D87" s="4" t="s">
        <v>32</v>
      </c>
      <c r="E87" s="4" t="s">
        <v>74</v>
      </c>
      <c r="F87" s="4" t="s">
        <v>24</v>
      </c>
      <c r="G87">
        <v>34.799999999999997</v>
      </c>
      <c r="H87">
        <v>122</v>
      </c>
      <c r="I87">
        <v>83</v>
      </c>
      <c r="J87">
        <v>270</v>
      </c>
      <c r="K87">
        <v>127</v>
      </c>
      <c r="L87" s="4" t="s">
        <v>860</v>
      </c>
      <c r="M87">
        <v>3</v>
      </c>
      <c r="N87">
        <v>3</v>
      </c>
      <c r="O87" s="4" t="s">
        <v>35</v>
      </c>
      <c r="P87" s="5">
        <v>45303</v>
      </c>
      <c r="Q87">
        <v>17</v>
      </c>
      <c r="R87">
        <v>18</v>
      </c>
      <c r="S87" s="4" t="s">
        <v>78</v>
      </c>
      <c r="T87" s="4" t="s">
        <v>100</v>
      </c>
      <c r="U87" t="str">
        <f t="shared" si="9"/>
        <v>Obese</v>
      </c>
      <c r="V87" s="4" t="str">
        <f t="shared" si="10"/>
        <v>Aged</v>
      </c>
      <c r="W87" s="4" t="str">
        <f t="shared" si="11"/>
        <v>High Bp</v>
      </c>
      <c r="X87" s="4">
        <f t="shared" si="12"/>
        <v>1</v>
      </c>
      <c r="Y87" s="4">
        <f t="shared" si="13"/>
        <v>1</v>
      </c>
      <c r="Z87" s="4">
        <f t="shared" si="14"/>
        <v>0</v>
      </c>
      <c r="AA87" s="4">
        <f t="shared" si="15"/>
        <v>0</v>
      </c>
      <c r="AB87" s="4">
        <f t="shared" si="16"/>
        <v>1</v>
      </c>
      <c r="AC87" s="4">
        <f>SUM(Table1_2[[#This Row],[bp score]],Table1_2[[#This Row],[bmi score]],Table1_2[[#This Row],[Csmoking score]],Table1_2[[#This Row],[Condition score]],Table1_2[[#This Row],[Cholesterol score]],)</f>
        <v>3</v>
      </c>
      <c r="AD87" s="4" t="str">
        <f t="shared" si="17"/>
        <v>Medium risk</v>
      </c>
    </row>
    <row r="88" spans="1:30" x14ac:dyDescent="0.35">
      <c r="A88" s="4" t="s">
        <v>319</v>
      </c>
      <c r="B88" s="4" t="s">
        <v>113</v>
      </c>
      <c r="C88">
        <v>61</v>
      </c>
      <c r="D88" s="4" t="s">
        <v>73</v>
      </c>
      <c r="E88" s="4" t="s">
        <v>131</v>
      </c>
      <c r="F88" s="4" t="s">
        <v>57</v>
      </c>
      <c r="G88">
        <v>27</v>
      </c>
      <c r="H88">
        <v>161</v>
      </c>
      <c r="I88">
        <v>93</v>
      </c>
      <c r="J88">
        <v>245</v>
      </c>
      <c r="K88">
        <v>174</v>
      </c>
      <c r="L88" s="4" t="s">
        <v>100</v>
      </c>
      <c r="M88">
        <v>1</v>
      </c>
      <c r="N88">
        <v>3</v>
      </c>
      <c r="O88" s="4" t="s">
        <v>35</v>
      </c>
      <c r="P88" s="5">
        <v>44423</v>
      </c>
      <c r="Q88">
        <v>16</v>
      </c>
      <c r="R88">
        <v>11</v>
      </c>
      <c r="S88" s="4" t="s">
        <v>60</v>
      </c>
      <c r="T88" s="4" t="s">
        <v>100</v>
      </c>
      <c r="U88" t="str">
        <f t="shared" si="9"/>
        <v>Overweight</v>
      </c>
      <c r="V88" s="4" t="str">
        <f t="shared" si="10"/>
        <v>Aged</v>
      </c>
      <c r="W88" s="4" t="str">
        <f t="shared" si="11"/>
        <v>High Bp</v>
      </c>
      <c r="X88" s="4">
        <f t="shared" si="12"/>
        <v>1</v>
      </c>
      <c r="Y88" s="4">
        <f t="shared" si="13"/>
        <v>0</v>
      </c>
      <c r="Z88" s="4">
        <f t="shared" si="14"/>
        <v>0</v>
      </c>
      <c r="AA88" s="4">
        <f t="shared" si="15"/>
        <v>1</v>
      </c>
      <c r="AB88" s="4">
        <f t="shared" si="16"/>
        <v>1</v>
      </c>
      <c r="AC88" s="4">
        <f>SUM(Table1_2[[#This Row],[bp score]],Table1_2[[#This Row],[bmi score]],Table1_2[[#This Row],[Csmoking score]],Table1_2[[#This Row],[Condition score]],Table1_2[[#This Row],[Cholesterol score]],)</f>
        <v>3</v>
      </c>
      <c r="AD88" s="4" t="str">
        <f t="shared" si="17"/>
        <v>Medium risk</v>
      </c>
    </row>
    <row r="89" spans="1:30" x14ac:dyDescent="0.35">
      <c r="A89" s="4" t="s">
        <v>321</v>
      </c>
      <c r="B89" s="4" t="s">
        <v>322</v>
      </c>
      <c r="C89">
        <v>30</v>
      </c>
      <c r="D89" s="4" t="s">
        <v>32</v>
      </c>
      <c r="E89" s="4" t="s">
        <v>131</v>
      </c>
      <c r="F89" s="4" t="s">
        <v>117</v>
      </c>
      <c r="G89">
        <v>37.799999999999997</v>
      </c>
      <c r="H89">
        <v>166</v>
      </c>
      <c r="I89">
        <v>69</v>
      </c>
      <c r="J89">
        <v>217</v>
      </c>
      <c r="K89">
        <v>112</v>
      </c>
      <c r="L89" s="4" t="s">
        <v>860</v>
      </c>
      <c r="M89">
        <v>5</v>
      </c>
      <c r="N89">
        <v>4</v>
      </c>
      <c r="O89" s="4" t="s">
        <v>35</v>
      </c>
      <c r="P89" s="5">
        <v>44966</v>
      </c>
      <c r="Q89">
        <v>6</v>
      </c>
      <c r="R89">
        <v>20</v>
      </c>
      <c r="S89" s="4" t="s">
        <v>38</v>
      </c>
      <c r="T89" s="4" t="s">
        <v>863</v>
      </c>
      <c r="U89" t="str">
        <f t="shared" si="9"/>
        <v>Obese</v>
      </c>
      <c r="V89" s="4" t="str">
        <f t="shared" si="10"/>
        <v>Young adult</v>
      </c>
      <c r="W89" s="4" t="str">
        <f t="shared" si="11"/>
        <v>High Bp</v>
      </c>
      <c r="X89" s="4">
        <f t="shared" si="12"/>
        <v>1</v>
      </c>
      <c r="Y89" s="4">
        <f t="shared" si="13"/>
        <v>1</v>
      </c>
      <c r="Z89" s="4">
        <f t="shared" si="14"/>
        <v>0</v>
      </c>
      <c r="AA89" s="4">
        <f t="shared" si="15"/>
        <v>1</v>
      </c>
      <c r="AB89" s="4">
        <f t="shared" si="16"/>
        <v>1</v>
      </c>
      <c r="AC89" s="4">
        <f>SUM(Table1_2[[#This Row],[bp score]],Table1_2[[#This Row],[bmi score]],Table1_2[[#This Row],[Csmoking score]],Table1_2[[#This Row],[Condition score]],Table1_2[[#This Row],[Cholesterol score]],)</f>
        <v>4</v>
      </c>
      <c r="AD89" s="4" t="str">
        <f t="shared" si="17"/>
        <v>High risk</v>
      </c>
    </row>
    <row r="90" spans="1:30" x14ac:dyDescent="0.35">
      <c r="A90" s="4" t="s">
        <v>324</v>
      </c>
      <c r="B90" s="4" t="s">
        <v>197</v>
      </c>
      <c r="C90">
        <v>61</v>
      </c>
      <c r="D90" s="4" t="s">
        <v>73</v>
      </c>
      <c r="E90" s="4" t="s">
        <v>131</v>
      </c>
      <c r="F90" s="4" t="s">
        <v>24</v>
      </c>
      <c r="G90">
        <v>31.8</v>
      </c>
      <c r="H90">
        <v>119</v>
      </c>
      <c r="I90">
        <v>70</v>
      </c>
      <c r="J90">
        <v>226</v>
      </c>
      <c r="K90">
        <v>214</v>
      </c>
      <c r="L90" s="4" t="s">
        <v>859</v>
      </c>
      <c r="M90">
        <v>0</v>
      </c>
      <c r="N90">
        <v>2</v>
      </c>
      <c r="O90" s="4" t="s">
        <v>25</v>
      </c>
      <c r="P90" s="5">
        <v>45237</v>
      </c>
      <c r="Q90">
        <v>18</v>
      </c>
      <c r="R90">
        <v>13</v>
      </c>
      <c r="S90" s="4" t="s">
        <v>78</v>
      </c>
      <c r="T90" s="4" t="s">
        <v>862</v>
      </c>
      <c r="U90" t="str">
        <f t="shared" si="9"/>
        <v>Obese</v>
      </c>
      <c r="V90" s="4" t="str">
        <f t="shared" si="10"/>
        <v>Aged</v>
      </c>
      <c r="W90" s="4" t="str">
        <f t="shared" si="11"/>
        <v>Normal</v>
      </c>
      <c r="X90" s="4">
        <f t="shared" si="12"/>
        <v>0</v>
      </c>
      <c r="Y90" s="4">
        <f t="shared" si="13"/>
        <v>1</v>
      </c>
      <c r="Z90" s="4">
        <f t="shared" si="14"/>
        <v>1</v>
      </c>
      <c r="AA90" s="4">
        <f t="shared" si="15"/>
        <v>0</v>
      </c>
      <c r="AB90" s="4">
        <f t="shared" si="16"/>
        <v>1</v>
      </c>
      <c r="AC90" s="4">
        <f>SUM(Table1_2[[#This Row],[bp score]],Table1_2[[#This Row],[bmi score]],Table1_2[[#This Row],[Csmoking score]],Table1_2[[#This Row],[Condition score]],Table1_2[[#This Row],[Cholesterol score]],)</f>
        <v>3</v>
      </c>
      <c r="AD90" s="4" t="str">
        <f t="shared" si="17"/>
        <v>Medium risk</v>
      </c>
    </row>
    <row r="91" spans="1:30" x14ac:dyDescent="0.35">
      <c r="A91" s="4" t="s">
        <v>326</v>
      </c>
      <c r="B91" s="4" t="s">
        <v>327</v>
      </c>
      <c r="C91">
        <v>40</v>
      </c>
      <c r="D91" s="4" t="s">
        <v>32</v>
      </c>
      <c r="E91" s="4" t="s">
        <v>161</v>
      </c>
      <c r="F91" s="4" t="s">
        <v>52</v>
      </c>
      <c r="G91">
        <v>32</v>
      </c>
      <c r="H91">
        <v>151</v>
      </c>
      <c r="I91">
        <v>79</v>
      </c>
      <c r="J91">
        <v>256</v>
      </c>
      <c r="K91">
        <v>88</v>
      </c>
      <c r="L91" s="4" t="s">
        <v>859</v>
      </c>
      <c r="M91">
        <v>2</v>
      </c>
      <c r="N91">
        <v>0</v>
      </c>
      <c r="O91" s="4" t="s">
        <v>25</v>
      </c>
      <c r="P91" s="5" t="s">
        <v>54</v>
      </c>
      <c r="Q91">
        <v>19</v>
      </c>
      <c r="R91">
        <v>4</v>
      </c>
      <c r="S91" s="4" t="s">
        <v>78</v>
      </c>
      <c r="T91" s="4" t="s">
        <v>864</v>
      </c>
      <c r="U91" t="str">
        <f t="shared" si="9"/>
        <v>Obese</v>
      </c>
      <c r="V91" s="4" t="str">
        <f t="shared" si="10"/>
        <v>Adult</v>
      </c>
      <c r="W91" s="4" t="str">
        <f t="shared" si="11"/>
        <v>High Bp</v>
      </c>
      <c r="X91" s="4">
        <f t="shared" si="12"/>
        <v>1</v>
      </c>
      <c r="Y91" s="4">
        <f t="shared" si="13"/>
        <v>1</v>
      </c>
      <c r="Z91" s="4">
        <f t="shared" si="14"/>
        <v>1</v>
      </c>
      <c r="AA91" s="4">
        <f t="shared" si="15"/>
        <v>0</v>
      </c>
      <c r="AB91" s="4">
        <f t="shared" si="16"/>
        <v>1</v>
      </c>
      <c r="AC91" s="4">
        <f>SUM(Table1_2[[#This Row],[bp score]],Table1_2[[#This Row],[bmi score]],Table1_2[[#This Row],[Csmoking score]],Table1_2[[#This Row],[Condition score]],Table1_2[[#This Row],[Cholesterol score]],)</f>
        <v>4</v>
      </c>
      <c r="AD91" s="4" t="str">
        <f t="shared" si="17"/>
        <v>High risk</v>
      </c>
    </row>
    <row r="92" spans="1:30" x14ac:dyDescent="0.35">
      <c r="A92" s="4" t="s">
        <v>329</v>
      </c>
      <c r="B92" s="4" t="s">
        <v>330</v>
      </c>
      <c r="C92">
        <v>30</v>
      </c>
      <c r="D92" s="4" t="s">
        <v>73</v>
      </c>
      <c r="E92" s="4" t="s">
        <v>131</v>
      </c>
      <c r="F92" s="4" t="s">
        <v>75</v>
      </c>
      <c r="G92">
        <v>19.7</v>
      </c>
      <c r="H92">
        <v>130</v>
      </c>
      <c r="I92">
        <v>89</v>
      </c>
      <c r="J92">
        <v>171</v>
      </c>
      <c r="K92">
        <v>138</v>
      </c>
      <c r="L92" s="4" t="s">
        <v>859</v>
      </c>
      <c r="M92">
        <v>3</v>
      </c>
      <c r="N92">
        <v>3</v>
      </c>
      <c r="O92" s="4" t="s">
        <v>35</v>
      </c>
      <c r="P92" s="5">
        <v>44329</v>
      </c>
      <c r="Q92">
        <v>19</v>
      </c>
      <c r="R92">
        <v>13</v>
      </c>
      <c r="S92" s="4" t="s">
        <v>78</v>
      </c>
      <c r="T92" s="4" t="s">
        <v>864</v>
      </c>
      <c r="U92" t="str">
        <f t="shared" si="9"/>
        <v>Normal</v>
      </c>
      <c r="V92" s="4" t="str">
        <f t="shared" si="10"/>
        <v>Young adult</v>
      </c>
      <c r="W92" s="4" t="str">
        <f t="shared" si="11"/>
        <v>High Bp</v>
      </c>
      <c r="X92" s="4">
        <f t="shared" si="12"/>
        <v>1</v>
      </c>
      <c r="Y92" s="4">
        <f t="shared" si="13"/>
        <v>0</v>
      </c>
      <c r="Z92" s="4">
        <f t="shared" si="14"/>
        <v>1</v>
      </c>
      <c r="AA92" s="4">
        <f t="shared" si="15"/>
        <v>0</v>
      </c>
      <c r="AB92" s="4">
        <f t="shared" si="16"/>
        <v>0</v>
      </c>
      <c r="AC92" s="4">
        <f>SUM(Table1_2[[#This Row],[bp score]],Table1_2[[#This Row],[bmi score]],Table1_2[[#This Row],[Csmoking score]],Table1_2[[#This Row],[Condition score]],Table1_2[[#This Row],[Cholesterol score]],)</f>
        <v>2</v>
      </c>
      <c r="AD92" s="4" t="str">
        <f t="shared" si="17"/>
        <v>Medium risk</v>
      </c>
    </row>
    <row r="93" spans="1:30" x14ac:dyDescent="0.35">
      <c r="A93" s="4" t="s">
        <v>332</v>
      </c>
      <c r="B93" s="4" t="s">
        <v>333</v>
      </c>
      <c r="C93">
        <v>42</v>
      </c>
      <c r="D93" s="4" t="s">
        <v>73</v>
      </c>
      <c r="E93" s="4" t="s">
        <v>33</v>
      </c>
      <c r="F93" s="4" t="s">
        <v>90</v>
      </c>
      <c r="G93">
        <v>41.9</v>
      </c>
      <c r="H93">
        <v>159</v>
      </c>
      <c r="I93">
        <v>91</v>
      </c>
      <c r="J93">
        <v>218</v>
      </c>
      <c r="K93">
        <v>197</v>
      </c>
      <c r="L93" s="4" t="s">
        <v>859</v>
      </c>
      <c r="M93">
        <v>1</v>
      </c>
      <c r="N93">
        <v>7</v>
      </c>
      <c r="O93" s="4" t="s">
        <v>35</v>
      </c>
      <c r="P93" s="5">
        <v>44670</v>
      </c>
      <c r="Q93">
        <v>11</v>
      </c>
      <c r="R93">
        <v>1</v>
      </c>
      <c r="S93" s="4" t="s">
        <v>99</v>
      </c>
      <c r="T93" s="4" t="s">
        <v>863</v>
      </c>
      <c r="U93" t="str">
        <f t="shared" si="9"/>
        <v>Obese</v>
      </c>
      <c r="V93" s="4" t="str">
        <f t="shared" si="10"/>
        <v>Elder</v>
      </c>
      <c r="W93" s="4" t="str">
        <f t="shared" si="11"/>
        <v>High Bp</v>
      </c>
      <c r="X93" s="4">
        <f t="shared" si="12"/>
        <v>1</v>
      </c>
      <c r="Y93" s="4">
        <f t="shared" si="13"/>
        <v>1</v>
      </c>
      <c r="Z93" s="4">
        <f t="shared" si="14"/>
        <v>1</v>
      </c>
      <c r="AA93" s="4">
        <f t="shared" si="15"/>
        <v>1</v>
      </c>
      <c r="AB93" s="4">
        <f t="shared" si="16"/>
        <v>1</v>
      </c>
      <c r="AC93" s="4">
        <f>SUM(Table1_2[[#This Row],[bp score]],Table1_2[[#This Row],[bmi score]],Table1_2[[#This Row],[Csmoking score]],Table1_2[[#This Row],[Condition score]],Table1_2[[#This Row],[Cholesterol score]],)</f>
        <v>5</v>
      </c>
      <c r="AD93" s="4" t="str">
        <f t="shared" si="17"/>
        <v>High risk</v>
      </c>
    </row>
    <row r="94" spans="1:30" x14ac:dyDescent="0.35">
      <c r="A94" s="4" t="s">
        <v>335</v>
      </c>
      <c r="B94" s="4" t="s">
        <v>336</v>
      </c>
      <c r="C94">
        <v>52</v>
      </c>
      <c r="D94" s="4" t="s">
        <v>32</v>
      </c>
      <c r="E94" s="4" t="s">
        <v>131</v>
      </c>
      <c r="F94" s="4" t="s">
        <v>117</v>
      </c>
      <c r="G94">
        <v>38.200000000000003</v>
      </c>
      <c r="H94">
        <v>155</v>
      </c>
      <c r="I94">
        <v>68</v>
      </c>
      <c r="J94">
        <v>207</v>
      </c>
      <c r="K94">
        <v>163</v>
      </c>
      <c r="L94" s="4" t="s">
        <v>860</v>
      </c>
      <c r="M94">
        <v>5</v>
      </c>
      <c r="N94">
        <v>1</v>
      </c>
      <c r="O94" s="4" t="s">
        <v>25</v>
      </c>
      <c r="P94" s="5">
        <v>44487</v>
      </c>
      <c r="Q94">
        <v>6</v>
      </c>
      <c r="R94">
        <v>11</v>
      </c>
      <c r="S94" s="4" t="s">
        <v>38</v>
      </c>
      <c r="T94" s="4" t="s">
        <v>863</v>
      </c>
      <c r="U94" t="str">
        <f t="shared" si="9"/>
        <v>Obese</v>
      </c>
      <c r="V94" s="4" t="str">
        <f t="shared" si="10"/>
        <v>Aged</v>
      </c>
      <c r="W94" s="4" t="str">
        <f t="shared" si="11"/>
        <v>High Bp</v>
      </c>
      <c r="X94" s="4">
        <f t="shared" si="12"/>
        <v>1</v>
      </c>
      <c r="Y94" s="4">
        <f t="shared" si="13"/>
        <v>1</v>
      </c>
      <c r="Z94" s="4">
        <f t="shared" si="14"/>
        <v>0</v>
      </c>
      <c r="AA94" s="4">
        <f t="shared" si="15"/>
        <v>1</v>
      </c>
      <c r="AB94" s="4">
        <f t="shared" si="16"/>
        <v>1</v>
      </c>
      <c r="AC94" s="4">
        <f>SUM(Table1_2[[#This Row],[bp score]],Table1_2[[#This Row],[bmi score]],Table1_2[[#This Row],[Csmoking score]],Table1_2[[#This Row],[Condition score]],Table1_2[[#This Row],[Cholesterol score]],)</f>
        <v>4</v>
      </c>
      <c r="AD94" s="4" t="str">
        <f t="shared" si="17"/>
        <v>High risk</v>
      </c>
    </row>
    <row r="95" spans="1:30" x14ac:dyDescent="0.35">
      <c r="A95" s="4" t="s">
        <v>337</v>
      </c>
      <c r="B95" s="4" t="s">
        <v>338</v>
      </c>
      <c r="C95">
        <v>54</v>
      </c>
      <c r="D95" s="4" t="s">
        <v>73</v>
      </c>
      <c r="E95" s="4" t="s">
        <v>131</v>
      </c>
      <c r="F95" s="4" t="s">
        <v>57</v>
      </c>
      <c r="G95">
        <v>37.6</v>
      </c>
      <c r="H95">
        <v>115</v>
      </c>
      <c r="I95">
        <v>68</v>
      </c>
      <c r="J95">
        <v>164</v>
      </c>
      <c r="K95">
        <v>170</v>
      </c>
      <c r="L95" s="4" t="s">
        <v>860</v>
      </c>
      <c r="M95">
        <v>5</v>
      </c>
      <c r="N95">
        <v>9</v>
      </c>
      <c r="O95" s="4" t="s">
        <v>35</v>
      </c>
      <c r="P95" s="5">
        <v>44671</v>
      </c>
      <c r="Q95">
        <v>16</v>
      </c>
      <c r="R95">
        <v>12</v>
      </c>
      <c r="S95" s="4" t="s">
        <v>38</v>
      </c>
      <c r="T95" s="4" t="s">
        <v>862</v>
      </c>
      <c r="U95" t="str">
        <f t="shared" si="9"/>
        <v>Obese</v>
      </c>
      <c r="V95" s="4" t="str">
        <f t="shared" si="10"/>
        <v>Aged</v>
      </c>
      <c r="W95" s="4" t="str">
        <f t="shared" si="11"/>
        <v>Normal</v>
      </c>
      <c r="X95" s="4">
        <f t="shared" si="12"/>
        <v>0</v>
      </c>
      <c r="Y95" s="4">
        <f t="shared" si="13"/>
        <v>1</v>
      </c>
      <c r="Z95" s="4">
        <f t="shared" si="14"/>
        <v>0</v>
      </c>
      <c r="AA95" s="4">
        <f t="shared" si="15"/>
        <v>1</v>
      </c>
      <c r="AB95" s="4">
        <f t="shared" si="16"/>
        <v>0</v>
      </c>
      <c r="AC95" s="4">
        <f>SUM(Table1_2[[#This Row],[bp score]],Table1_2[[#This Row],[bmi score]],Table1_2[[#This Row],[Csmoking score]],Table1_2[[#This Row],[Condition score]],Table1_2[[#This Row],[Cholesterol score]],)</f>
        <v>2</v>
      </c>
      <c r="AD95" s="4" t="str">
        <f t="shared" si="17"/>
        <v>Medium risk</v>
      </c>
    </row>
    <row r="96" spans="1:30" x14ac:dyDescent="0.35">
      <c r="A96" s="4" t="s">
        <v>340</v>
      </c>
      <c r="B96" s="4" t="s">
        <v>341</v>
      </c>
      <c r="C96">
        <v>30</v>
      </c>
      <c r="D96" s="4" t="s">
        <v>73</v>
      </c>
      <c r="E96" s="4" t="s">
        <v>161</v>
      </c>
      <c r="F96" s="4" t="s">
        <v>75</v>
      </c>
      <c r="G96">
        <v>28.4</v>
      </c>
      <c r="H96">
        <v>165</v>
      </c>
      <c r="I96">
        <v>68</v>
      </c>
      <c r="J96">
        <v>223</v>
      </c>
      <c r="K96">
        <v>226</v>
      </c>
      <c r="L96" s="4" t="s">
        <v>860</v>
      </c>
      <c r="M96">
        <v>2</v>
      </c>
      <c r="N96">
        <v>7</v>
      </c>
      <c r="O96" s="4" t="s">
        <v>25</v>
      </c>
      <c r="P96" s="5">
        <v>45196</v>
      </c>
      <c r="Q96">
        <v>16</v>
      </c>
      <c r="R96">
        <v>17</v>
      </c>
      <c r="S96" s="4" t="s">
        <v>92</v>
      </c>
      <c r="T96" s="4" t="s">
        <v>863</v>
      </c>
      <c r="U96" t="str">
        <f t="shared" si="9"/>
        <v>Overweight</v>
      </c>
      <c r="V96" s="4" t="str">
        <f t="shared" si="10"/>
        <v>Young adult</v>
      </c>
      <c r="W96" s="4" t="str">
        <f t="shared" si="11"/>
        <v>High Bp</v>
      </c>
      <c r="X96" s="4">
        <f t="shared" si="12"/>
        <v>1</v>
      </c>
      <c r="Y96" s="4">
        <f t="shared" si="13"/>
        <v>0</v>
      </c>
      <c r="Z96" s="4">
        <f t="shared" si="14"/>
        <v>0</v>
      </c>
      <c r="AA96" s="4">
        <f t="shared" si="15"/>
        <v>1</v>
      </c>
      <c r="AB96" s="4">
        <f t="shared" si="16"/>
        <v>1</v>
      </c>
      <c r="AC96" s="4">
        <f>SUM(Table1_2[[#This Row],[bp score]],Table1_2[[#This Row],[bmi score]],Table1_2[[#This Row],[Csmoking score]],Table1_2[[#This Row],[Condition score]],Table1_2[[#This Row],[Cholesterol score]],)</f>
        <v>3</v>
      </c>
      <c r="AD96" s="4" t="str">
        <f t="shared" si="17"/>
        <v>Medium risk</v>
      </c>
    </row>
    <row r="97" spans="1:30" x14ac:dyDescent="0.35">
      <c r="A97" s="4" t="s">
        <v>343</v>
      </c>
      <c r="B97" s="4" t="s">
        <v>344</v>
      </c>
      <c r="C97">
        <v>45</v>
      </c>
      <c r="D97" s="4" t="s">
        <v>73</v>
      </c>
      <c r="E97" s="4" t="s">
        <v>131</v>
      </c>
      <c r="F97" s="4" t="s">
        <v>82</v>
      </c>
      <c r="G97">
        <v>31.6</v>
      </c>
      <c r="H97">
        <v>103</v>
      </c>
      <c r="I97">
        <v>98</v>
      </c>
      <c r="J97">
        <v>261</v>
      </c>
      <c r="K97">
        <v>137</v>
      </c>
      <c r="L97" s="4" t="s">
        <v>100</v>
      </c>
      <c r="M97">
        <v>0</v>
      </c>
      <c r="N97">
        <v>4</v>
      </c>
      <c r="O97" s="4" t="s">
        <v>25</v>
      </c>
      <c r="P97" s="5">
        <v>45368</v>
      </c>
      <c r="Q97">
        <v>20</v>
      </c>
      <c r="R97">
        <v>19</v>
      </c>
      <c r="S97" s="4" t="s">
        <v>99</v>
      </c>
      <c r="T97" s="4" t="s">
        <v>864</v>
      </c>
      <c r="U97" t="str">
        <f t="shared" si="9"/>
        <v>Obese</v>
      </c>
      <c r="V97" s="4" t="str">
        <f t="shared" si="10"/>
        <v>Elder</v>
      </c>
      <c r="W97" s="4" t="str">
        <f t="shared" si="11"/>
        <v>High Bp</v>
      </c>
      <c r="X97" s="4">
        <f t="shared" si="12"/>
        <v>1</v>
      </c>
      <c r="Y97" s="4">
        <f t="shared" si="13"/>
        <v>1</v>
      </c>
      <c r="Z97" s="4">
        <f t="shared" si="14"/>
        <v>0</v>
      </c>
      <c r="AA97" s="4">
        <f t="shared" si="15"/>
        <v>1</v>
      </c>
      <c r="AB97" s="4">
        <f t="shared" si="16"/>
        <v>1</v>
      </c>
      <c r="AC97" s="4">
        <f>SUM(Table1_2[[#This Row],[bp score]],Table1_2[[#This Row],[bmi score]],Table1_2[[#This Row],[Csmoking score]],Table1_2[[#This Row],[Condition score]],Table1_2[[#This Row],[Cholesterol score]],)</f>
        <v>4</v>
      </c>
      <c r="AD97" s="4" t="str">
        <f t="shared" si="17"/>
        <v>High risk</v>
      </c>
    </row>
    <row r="98" spans="1:30" x14ac:dyDescent="0.35">
      <c r="A98" s="4" t="s">
        <v>346</v>
      </c>
      <c r="B98" s="4" t="s">
        <v>347</v>
      </c>
      <c r="C98">
        <v>58</v>
      </c>
      <c r="D98" s="4" t="s">
        <v>73</v>
      </c>
      <c r="E98" s="4" t="s">
        <v>23</v>
      </c>
      <c r="F98" s="4" t="s">
        <v>117</v>
      </c>
      <c r="G98">
        <v>28</v>
      </c>
      <c r="H98">
        <v>153</v>
      </c>
      <c r="I98">
        <v>69</v>
      </c>
      <c r="J98">
        <v>245</v>
      </c>
      <c r="K98">
        <v>246</v>
      </c>
      <c r="L98" s="4" t="s">
        <v>861</v>
      </c>
      <c r="M98">
        <v>6</v>
      </c>
      <c r="N98">
        <v>9</v>
      </c>
      <c r="O98" s="4" t="s">
        <v>35</v>
      </c>
      <c r="P98" s="5">
        <v>44535</v>
      </c>
      <c r="Q98">
        <v>16</v>
      </c>
      <c r="R98">
        <v>6</v>
      </c>
      <c r="S98" s="4" t="s">
        <v>38</v>
      </c>
      <c r="T98" s="4" t="s">
        <v>864</v>
      </c>
      <c r="U98" t="str">
        <f t="shared" si="9"/>
        <v>Overweight</v>
      </c>
      <c r="V98" s="4" t="str">
        <f t="shared" si="10"/>
        <v>Aged</v>
      </c>
      <c r="W98" s="4" t="str">
        <f t="shared" si="11"/>
        <v>High Bp</v>
      </c>
      <c r="X98" s="4">
        <f t="shared" si="12"/>
        <v>1</v>
      </c>
      <c r="Y98" s="4">
        <f t="shared" si="13"/>
        <v>0</v>
      </c>
      <c r="Z98" s="4">
        <f t="shared" si="14"/>
        <v>0</v>
      </c>
      <c r="AA98" s="4">
        <f t="shared" si="15"/>
        <v>1</v>
      </c>
      <c r="AB98" s="4">
        <f t="shared" si="16"/>
        <v>1</v>
      </c>
      <c r="AC98" s="4">
        <f>SUM(Table1_2[[#This Row],[bp score]],Table1_2[[#This Row],[bmi score]],Table1_2[[#This Row],[Csmoking score]],Table1_2[[#This Row],[Condition score]],Table1_2[[#This Row],[Cholesterol score]],)</f>
        <v>3</v>
      </c>
      <c r="AD98" s="4" t="str">
        <f t="shared" si="17"/>
        <v>Medium risk</v>
      </c>
    </row>
    <row r="99" spans="1:30" x14ac:dyDescent="0.35">
      <c r="A99" s="4" t="s">
        <v>349</v>
      </c>
      <c r="B99" s="4" t="s">
        <v>350</v>
      </c>
      <c r="C99">
        <v>46</v>
      </c>
      <c r="D99" s="4" t="s">
        <v>73</v>
      </c>
      <c r="E99" s="4" t="s">
        <v>33</v>
      </c>
      <c r="F99" s="4" t="s">
        <v>90</v>
      </c>
      <c r="G99">
        <v>39.799999999999997</v>
      </c>
      <c r="H99">
        <v>143</v>
      </c>
      <c r="I99">
        <v>94</v>
      </c>
      <c r="J99">
        <v>230</v>
      </c>
      <c r="K99">
        <v>243</v>
      </c>
      <c r="L99" s="4" t="s">
        <v>859</v>
      </c>
      <c r="M99">
        <v>0</v>
      </c>
      <c r="N99">
        <v>8</v>
      </c>
      <c r="O99" s="4" t="s">
        <v>35</v>
      </c>
      <c r="P99" s="5">
        <v>44699</v>
      </c>
      <c r="Q99">
        <v>9</v>
      </c>
      <c r="R99">
        <v>7</v>
      </c>
      <c r="S99" s="4" t="s">
        <v>78</v>
      </c>
      <c r="T99" s="4" t="s">
        <v>863</v>
      </c>
      <c r="U99" t="str">
        <f t="shared" si="9"/>
        <v>Obese</v>
      </c>
      <c r="V99" s="4" t="str">
        <f t="shared" si="10"/>
        <v>Elder</v>
      </c>
      <c r="W99" s="4" t="str">
        <f t="shared" si="11"/>
        <v>High Bp</v>
      </c>
      <c r="X99" s="4">
        <f t="shared" si="12"/>
        <v>1</v>
      </c>
      <c r="Y99" s="4">
        <f t="shared" si="13"/>
        <v>1</v>
      </c>
      <c r="Z99" s="4">
        <f t="shared" si="14"/>
        <v>1</v>
      </c>
      <c r="AA99" s="4">
        <f t="shared" si="15"/>
        <v>0</v>
      </c>
      <c r="AB99" s="4">
        <f t="shared" si="16"/>
        <v>1</v>
      </c>
      <c r="AC99" s="4">
        <f>SUM(Table1_2[[#This Row],[bp score]],Table1_2[[#This Row],[bmi score]],Table1_2[[#This Row],[Csmoking score]],Table1_2[[#This Row],[Condition score]],Table1_2[[#This Row],[Cholesterol score]],)</f>
        <v>4</v>
      </c>
      <c r="AD99" s="4" t="str">
        <f t="shared" si="17"/>
        <v>High risk</v>
      </c>
    </row>
    <row r="100" spans="1:30" x14ac:dyDescent="0.35">
      <c r="A100" s="4" t="s">
        <v>352</v>
      </c>
      <c r="B100" s="4" t="s">
        <v>56</v>
      </c>
      <c r="C100">
        <v>42</v>
      </c>
      <c r="D100" s="4" t="s">
        <v>73</v>
      </c>
      <c r="E100" s="4" t="s">
        <v>127</v>
      </c>
      <c r="F100" s="4" t="s">
        <v>75</v>
      </c>
      <c r="G100">
        <v>40.299999999999997</v>
      </c>
      <c r="H100">
        <v>135</v>
      </c>
      <c r="I100">
        <v>78</v>
      </c>
      <c r="J100">
        <v>171</v>
      </c>
      <c r="K100">
        <v>216</v>
      </c>
      <c r="L100" s="4" t="s">
        <v>860</v>
      </c>
      <c r="M100">
        <v>6</v>
      </c>
      <c r="N100">
        <v>7</v>
      </c>
      <c r="O100" s="4" t="s">
        <v>35</v>
      </c>
      <c r="P100" s="5">
        <v>44683</v>
      </c>
      <c r="Q100">
        <v>9</v>
      </c>
      <c r="R100">
        <v>2</v>
      </c>
      <c r="S100" s="4" t="s">
        <v>78</v>
      </c>
      <c r="T100" s="4" t="s">
        <v>100</v>
      </c>
      <c r="U100" t="str">
        <f t="shared" si="9"/>
        <v>Obese</v>
      </c>
      <c r="V100" s="4" t="str">
        <f t="shared" si="10"/>
        <v>Elder</v>
      </c>
      <c r="W100" s="4" t="str">
        <f t="shared" si="11"/>
        <v>High Bp</v>
      </c>
      <c r="X100" s="4">
        <f t="shared" si="12"/>
        <v>1</v>
      </c>
      <c r="Y100" s="4">
        <f t="shared" si="13"/>
        <v>1</v>
      </c>
      <c r="Z100" s="4">
        <f t="shared" si="14"/>
        <v>0</v>
      </c>
      <c r="AA100" s="4">
        <f t="shared" si="15"/>
        <v>0</v>
      </c>
      <c r="AB100" s="4">
        <f t="shared" si="16"/>
        <v>0</v>
      </c>
      <c r="AC100" s="4">
        <f>SUM(Table1_2[[#This Row],[bp score]],Table1_2[[#This Row],[bmi score]],Table1_2[[#This Row],[Csmoking score]],Table1_2[[#This Row],[Condition score]],Table1_2[[#This Row],[Cholesterol score]],)</f>
        <v>2</v>
      </c>
      <c r="AD100" s="4" t="str">
        <f t="shared" si="17"/>
        <v>Medium risk</v>
      </c>
    </row>
    <row r="101" spans="1:30" x14ac:dyDescent="0.35">
      <c r="A101" s="4" t="s">
        <v>858</v>
      </c>
      <c r="B101" s="4" t="s">
        <v>89</v>
      </c>
      <c r="C101">
        <v>35</v>
      </c>
      <c r="D101" s="4" t="s">
        <v>73</v>
      </c>
      <c r="E101" s="4" t="s">
        <v>131</v>
      </c>
      <c r="F101" s="4" t="s">
        <v>57</v>
      </c>
      <c r="G101">
        <v>40.299999999999997</v>
      </c>
      <c r="H101">
        <v>134</v>
      </c>
      <c r="I101">
        <v>68</v>
      </c>
      <c r="J101">
        <v>167</v>
      </c>
      <c r="K101">
        <v>227</v>
      </c>
      <c r="L101" s="4" t="s">
        <v>100</v>
      </c>
      <c r="M101">
        <v>3</v>
      </c>
      <c r="N101">
        <v>4</v>
      </c>
      <c r="O101" s="4" t="s">
        <v>25</v>
      </c>
      <c r="P101" s="5">
        <v>44873</v>
      </c>
      <c r="Q101">
        <v>1</v>
      </c>
      <c r="R101">
        <v>3</v>
      </c>
      <c r="S101" s="4" t="s">
        <v>99</v>
      </c>
      <c r="T101" s="4" t="s">
        <v>864</v>
      </c>
      <c r="U101" t="str">
        <f t="shared" si="9"/>
        <v>Obese</v>
      </c>
      <c r="V101" s="4" t="str">
        <f t="shared" si="10"/>
        <v>Adult</v>
      </c>
      <c r="W101" s="4" t="str">
        <f t="shared" si="11"/>
        <v>High Bp</v>
      </c>
      <c r="X101" s="4">
        <f t="shared" si="12"/>
        <v>1</v>
      </c>
      <c r="Y101" s="4">
        <f t="shared" si="13"/>
        <v>1</v>
      </c>
      <c r="Z101" s="4">
        <f t="shared" si="14"/>
        <v>0</v>
      </c>
      <c r="AA101" s="4">
        <f t="shared" si="15"/>
        <v>1</v>
      </c>
      <c r="AB101" s="4">
        <f t="shared" si="16"/>
        <v>0</v>
      </c>
      <c r="AC101" s="4">
        <f>SUM(Table1_2[[#This Row],[bp score]],Table1_2[[#This Row],[bmi score]],Table1_2[[#This Row],[Csmoking score]],Table1_2[[#This Row],[Condition score]],Table1_2[[#This Row],[Cholesterol score]],)</f>
        <v>3</v>
      </c>
      <c r="AD101" s="4" t="str">
        <f t="shared" si="17"/>
        <v>Medium risk</v>
      </c>
    </row>
    <row r="102" spans="1:30" x14ac:dyDescent="0.35">
      <c r="A102" s="4" t="s">
        <v>355</v>
      </c>
      <c r="B102" s="4" t="s">
        <v>356</v>
      </c>
      <c r="C102">
        <v>30</v>
      </c>
      <c r="D102" s="4" t="s">
        <v>32</v>
      </c>
      <c r="E102" s="4" t="s">
        <v>131</v>
      </c>
      <c r="F102" s="4" t="s">
        <v>24</v>
      </c>
      <c r="G102">
        <v>27.2</v>
      </c>
      <c r="H102">
        <v>160</v>
      </c>
      <c r="I102">
        <v>90</v>
      </c>
      <c r="J102">
        <v>191</v>
      </c>
      <c r="K102">
        <v>143</v>
      </c>
      <c r="L102" s="4" t="s">
        <v>860</v>
      </c>
      <c r="M102">
        <v>4</v>
      </c>
      <c r="N102">
        <v>1</v>
      </c>
      <c r="O102" s="4" t="s">
        <v>35</v>
      </c>
      <c r="P102" s="5">
        <v>44828</v>
      </c>
      <c r="Q102">
        <v>1</v>
      </c>
      <c r="R102">
        <v>5</v>
      </c>
      <c r="S102" s="4" t="s">
        <v>99</v>
      </c>
      <c r="T102" s="4" t="s">
        <v>864</v>
      </c>
      <c r="U102" t="str">
        <f t="shared" si="9"/>
        <v>Overweight</v>
      </c>
      <c r="V102" s="4" t="str">
        <f t="shared" si="10"/>
        <v>Young adult</v>
      </c>
      <c r="W102" s="4" t="str">
        <f t="shared" si="11"/>
        <v>High Bp</v>
      </c>
      <c r="X102" s="4">
        <f t="shared" si="12"/>
        <v>1</v>
      </c>
      <c r="Y102" s="4">
        <f t="shared" si="13"/>
        <v>0</v>
      </c>
      <c r="Z102" s="4">
        <f t="shared" si="14"/>
        <v>0</v>
      </c>
      <c r="AA102" s="4">
        <f t="shared" si="15"/>
        <v>1</v>
      </c>
      <c r="AB102" s="4">
        <f t="shared" si="16"/>
        <v>0</v>
      </c>
      <c r="AC102" s="4">
        <f>SUM(Table1_2[[#This Row],[bp score]],Table1_2[[#This Row],[bmi score]],Table1_2[[#This Row],[Csmoking score]],Table1_2[[#This Row],[Condition score]],Table1_2[[#This Row],[Cholesterol score]],)</f>
        <v>2</v>
      </c>
      <c r="AD102" s="4" t="str">
        <f t="shared" si="17"/>
        <v>Medium risk</v>
      </c>
    </row>
    <row r="103" spans="1:30" x14ac:dyDescent="0.35">
      <c r="A103" s="4" t="s">
        <v>358</v>
      </c>
      <c r="B103" s="4" t="s">
        <v>359</v>
      </c>
      <c r="C103">
        <v>53</v>
      </c>
      <c r="D103" s="4" t="s">
        <v>32</v>
      </c>
      <c r="E103" s="4" t="s">
        <v>74</v>
      </c>
      <c r="F103" s="4" t="s">
        <v>117</v>
      </c>
      <c r="G103">
        <v>17.2</v>
      </c>
      <c r="H103">
        <v>113</v>
      </c>
      <c r="I103">
        <v>81</v>
      </c>
      <c r="J103">
        <v>212</v>
      </c>
      <c r="K103">
        <v>186</v>
      </c>
      <c r="L103" s="4" t="s">
        <v>860</v>
      </c>
      <c r="M103">
        <v>0</v>
      </c>
      <c r="N103">
        <v>8</v>
      </c>
      <c r="O103" s="4" t="s">
        <v>25</v>
      </c>
      <c r="P103" s="5">
        <v>45419</v>
      </c>
      <c r="Q103">
        <v>3</v>
      </c>
      <c r="R103">
        <v>10</v>
      </c>
      <c r="S103" s="4" t="s">
        <v>60</v>
      </c>
      <c r="T103" s="4" t="s">
        <v>100</v>
      </c>
      <c r="U103" t="str">
        <f t="shared" si="9"/>
        <v>Underweight</v>
      </c>
      <c r="V103" s="4" t="str">
        <f t="shared" si="10"/>
        <v>Aged</v>
      </c>
      <c r="W103" s="4" t="str">
        <f t="shared" si="11"/>
        <v>High Bp</v>
      </c>
      <c r="X103" s="4">
        <f t="shared" si="12"/>
        <v>1</v>
      </c>
      <c r="Y103" s="4">
        <f t="shared" si="13"/>
        <v>0</v>
      </c>
      <c r="Z103" s="4">
        <f t="shared" si="14"/>
        <v>0</v>
      </c>
      <c r="AA103" s="4">
        <f t="shared" si="15"/>
        <v>1</v>
      </c>
      <c r="AB103" s="4">
        <f t="shared" si="16"/>
        <v>1</v>
      </c>
      <c r="AC103" s="4">
        <f>SUM(Table1_2[[#This Row],[bp score]],Table1_2[[#This Row],[bmi score]],Table1_2[[#This Row],[Csmoking score]],Table1_2[[#This Row],[Condition score]],Table1_2[[#This Row],[Cholesterol score]],)</f>
        <v>3</v>
      </c>
      <c r="AD103" s="4" t="str">
        <f t="shared" si="17"/>
        <v>Medium risk</v>
      </c>
    </row>
    <row r="104" spans="1:30" x14ac:dyDescent="0.35">
      <c r="A104" s="4" t="s">
        <v>361</v>
      </c>
      <c r="B104" s="4" t="s">
        <v>192</v>
      </c>
      <c r="C104">
        <v>22</v>
      </c>
      <c r="D104" s="4" t="s">
        <v>73</v>
      </c>
      <c r="E104" s="4" t="s">
        <v>74</v>
      </c>
      <c r="F104" s="4" t="s">
        <v>66</v>
      </c>
      <c r="G104">
        <v>33.9</v>
      </c>
      <c r="H104">
        <v>124</v>
      </c>
      <c r="I104">
        <v>71</v>
      </c>
      <c r="J104">
        <v>243</v>
      </c>
      <c r="K104">
        <v>179</v>
      </c>
      <c r="L104" s="4" t="s">
        <v>860</v>
      </c>
      <c r="M104">
        <v>5</v>
      </c>
      <c r="N104">
        <v>2</v>
      </c>
      <c r="O104" s="4" t="s">
        <v>25</v>
      </c>
      <c r="P104" s="5">
        <v>44260</v>
      </c>
      <c r="Q104">
        <v>15</v>
      </c>
      <c r="R104">
        <v>10</v>
      </c>
      <c r="S104" s="4" t="s">
        <v>78</v>
      </c>
      <c r="T104" s="4" t="s">
        <v>862</v>
      </c>
      <c r="U104" t="str">
        <f t="shared" si="9"/>
        <v>Obese</v>
      </c>
      <c r="V104" s="4" t="str">
        <f t="shared" si="10"/>
        <v>Young adult</v>
      </c>
      <c r="W104" s="4" t="str">
        <f t="shared" si="11"/>
        <v>Elevated</v>
      </c>
      <c r="X104" s="4">
        <f t="shared" si="12"/>
        <v>0</v>
      </c>
      <c r="Y104" s="4">
        <f t="shared" si="13"/>
        <v>1</v>
      </c>
      <c r="Z104" s="4">
        <f t="shared" si="14"/>
        <v>0</v>
      </c>
      <c r="AA104" s="4">
        <f t="shared" si="15"/>
        <v>0</v>
      </c>
      <c r="AB104" s="4">
        <f t="shared" si="16"/>
        <v>1</v>
      </c>
      <c r="AC104" s="4">
        <f>SUM(Table1_2[[#This Row],[bp score]],Table1_2[[#This Row],[bmi score]],Table1_2[[#This Row],[Csmoking score]],Table1_2[[#This Row],[Condition score]],Table1_2[[#This Row],[Cholesterol score]],)</f>
        <v>2</v>
      </c>
      <c r="AD104" s="4" t="str">
        <f t="shared" si="17"/>
        <v>Medium risk</v>
      </c>
    </row>
    <row r="105" spans="1:30" x14ac:dyDescent="0.35">
      <c r="A105" s="4" t="s">
        <v>362</v>
      </c>
      <c r="B105" s="4" t="s">
        <v>363</v>
      </c>
      <c r="C105">
        <v>37</v>
      </c>
      <c r="D105" s="4" t="s">
        <v>73</v>
      </c>
      <c r="E105" s="4" t="s">
        <v>74</v>
      </c>
      <c r="F105" s="4" t="s">
        <v>117</v>
      </c>
      <c r="G105">
        <v>24.5</v>
      </c>
      <c r="H105">
        <v>101</v>
      </c>
      <c r="I105">
        <v>76</v>
      </c>
      <c r="J105">
        <v>232</v>
      </c>
      <c r="K105">
        <v>247</v>
      </c>
      <c r="L105" s="4" t="s">
        <v>861</v>
      </c>
      <c r="M105">
        <v>0</v>
      </c>
      <c r="N105">
        <v>2</v>
      </c>
      <c r="O105" s="4" t="s">
        <v>35</v>
      </c>
      <c r="P105" s="5">
        <v>44998</v>
      </c>
      <c r="Q105">
        <v>16</v>
      </c>
      <c r="R105">
        <v>9</v>
      </c>
      <c r="S105" s="4" t="s">
        <v>92</v>
      </c>
      <c r="T105" s="4" t="s">
        <v>863</v>
      </c>
      <c r="U105" t="str">
        <f t="shared" si="9"/>
        <v>Normal</v>
      </c>
      <c r="V105" s="4" t="str">
        <f t="shared" si="10"/>
        <v>Adult</v>
      </c>
      <c r="W105" s="4" t="str">
        <f t="shared" si="11"/>
        <v>Normal</v>
      </c>
      <c r="X105" s="4">
        <f t="shared" si="12"/>
        <v>0</v>
      </c>
      <c r="Y105" s="4">
        <f t="shared" si="13"/>
        <v>0</v>
      </c>
      <c r="Z105" s="4">
        <f t="shared" si="14"/>
        <v>0</v>
      </c>
      <c r="AA105" s="4">
        <f t="shared" si="15"/>
        <v>1</v>
      </c>
      <c r="AB105" s="4">
        <f t="shared" si="16"/>
        <v>1</v>
      </c>
      <c r="AC105" s="4">
        <f>SUM(Table1_2[[#This Row],[bp score]],Table1_2[[#This Row],[bmi score]],Table1_2[[#This Row],[Csmoking score]],Table1_2[[#This Row],[Condition score]],Table1_2[[#This Row],[Cholesterol score]],)</f>
        <v>2</v>
      </c>
      <c r="AD105" s="4" t="str">
        <f t="shared" si="17"/>
        <v>Medium risk</v>
      </c>
    </row>
    <row r="106" spans="1:30" x14ac:dyDescent="0.35">
      <c r="A106" s="4" t="s">
        <v>365</v>
      </c>
      <c r="B106" s="4" t="s">
        <v>366</v>
      </c>
      <c r="C106">
        <v>36</v>
      </c>
      <c r="D106" s="4" t="s">
        <v>73</v>
      </c>
      <c r="E106" s="4" t="s">
        <v>33</v>
      </c>
      <c r="F106" s="4" t="s">
        <v>90</v>
      </c>
      <c r="G106">
        <v>20.8</v>
      </c>
      <c r="H106">
        <v>147</v>
      </c>
      <c r="I106">
        <v>86</v>
      </c>
      <c r="J106">
        <v>280</v>
      </c>
      <c r="K106">
        <v>190</v>
      </c>
      <c r="L106" s="4" t="s">
        <v>860</v>
      </c>
      <c r="M106">
        <v>7</v>
      </c>
      <c r="N106">
        <v>4</v>
      </c>
      <c r="O106" s="4" t="s">
        <v>35</v>
      </c>
      <c r="P106" s="5">
        <v>44454</v>
      </c>
      <c r="Q106">
        <v>16</v>
      </c>
      <c r="R106">
        <v>11</v>
      </c>
      <c r="S106" s="4" t="s">
        <v>92</v>
      </c>
      <c r="T106" s="4" t="s">
        <v>863</v>
      </c>
      <c r="U106" t="str">
        <f t="shared" si="9"/>
        <v>Normal</v>
      </c>
      <c r="V106" s="4" t="str">
        <f t="shared" si="10"/>
        <v>Adult</v>
      </c>
      <c r="W106" s="4" t="str">
        <f t="shared" si="11"/>
        <v>High Bp</v>
      </c>
      <c r="X106" s="4">
        <f t="shared" si="12"/>
        <v>1</v>
      </c>
      <c r="Y106" s="4">
        <f t="shared" si="13"/>
        <v>0</v>
      </c>
      <c r="Z106" s="4">
        <f t="shared" si="14"/>
        <v>0</v>
      </c>
      <c r="AA106" s="4">
        <f t="shared" si="15"/>
        <v>1</v>
      </c>
      <c r="AB106" s="4">
        <f t="shared" si="16"/>
        <v>1</v>
      </c>
      <c r="AC106" s="4">
        <f>SUM(Table1_2[[#This Row],[bp score]],Table1_2[[#This Row],[bmi score]],Table1_2[[#This Row],[Csmoking score]],Table1_2[[#This Row],[Condition score]],Table1_2[[#This Row],[Cholesterol score]],)</f>
        <v>3</v>
      </c>
      <c r="AD106" s="4" t="str">
        <f t="shared" si="17"/>
        <v>Medium risk</v>
      </c>
    </row>
    <row r="107" spans="1:30" x14ac:dyDescent="0.35">
      <c r="A107" s="4" t="s">
        <v>368</v>
      </c>
      <c r="B107" s="4" t="s">
        <v>369</v>
      </c>
      <c r="C107">
        <v>54</v>
      </c>
      <c r="D107" s="4" t="s">
        <v>73</v>
      </c>
      <c r="E107" s="4" t="s">
        <v>33</v>
      </c>
      <c r="F107" s="4" t="s">
        <v>75</v>
      </c>
      <c r="G107">
        <v>20.7</v>
      </c>
      <c r="H107">
        <v>141</v>
      </c>
      <c r="I107">
        <v>93</v>
      </c>
      <c r="J107">
        <v>253</v>
      </c>
      <c r="K107">
        <v>99</v>
      </c>
      <c r="L107" s="4" t="s">
        <v>861</v>
      </c>
      <c r="M107">
        <v>0</v>
      </c>
      <c r="N107">
        <v>8</v>
      </c>
      <c r="O107" s="4" t="s">
        <v>35</v>
      </c>
      <c r="P107" s="5">
        <v>45306</v>
      </c>
      <c r="Q107">
        <v>4</v>
      </c>
      <c r="R107">
        <v>16</v>
      </c>
      <c r="S107" s="4" t="s">
        <v>99</v>
      </c>
      <c r="T107" s="4" t="s">
        <v>100</v>
      </c>
      <c r="U107" t="str">
        <f t="shared" si="9"/>
        <v>Normal</v>
      </c>
      <c r="V107" s="4" t="str">
        <f t="shared" si="10"/>
        <v>Aged</v>
      </c>
      <c r="W107" s="4" t="str">
        <f t="shared" si="11"/>
        <v>High Bp</v>
      </c>
      <c r="X107" s="4">
        <f t="shared" si="12"/>
        <v>1</v>
      </c>
      <c r="Y107" s="4">
        <f t="shared" si="13"/>
        <v>0</v>
      </c>
      <c r="Z107" s="4">
        <f t="shared" si="14"/>
        <v>0</v>
      </c>
      <c r="AA107" s="4">
        <f t="shared" si="15"/>
        <v>1</v>
      </c>
      <c r="AB107" s="4">
        <f t="shared" si="16"/>
        <v>1</v>
      </c>
      <c r="AC107" s="4">
        <f>SUM(Table1_2[[#This Row],[bp score]],Table1_2[[#This Row],[bmi score]],Table1_2[[#This Row],[Csmoking score]],Table1_2[[#This Row],[Condition score]],Table1_2[[#This Row],[Cholesterol score]],)</f>
        <v>3</v>
      </c>
      <c r="AD107" s="4" t="str">
        <f t="shared" si="17"/>
        <v>Medium risk</v>
      </c>
    </row>
    <row r="108" spans="1:30" x14ac:dyDescent="0.35">
      <c r="A108" s="4" t="s">
        <v>371</v>
      </c>
      <c r="B108" s="4" t="s">
        <v>372</v>
      </c>
      <c r="C108">
        <v>57</v>
      </c>
      <c r="D108" s="4" t="s">
        <v>73</v>
      </c>
      <c r="E108" s="4" t="s">
        <v>74</v>
      </c>
      <c r="F108" s="4" t="s">
        <v>117</v>
      </c>
      <c r="G108">
        <v>26.9</v>
      </c>
      <c r="H108">
        <v>100</v>
      </c>
      <c r="I108">
        <v>73</v>
      </c>
      <c r="J108">
        <v>158</v>
      </c>
      <c r="K108">
        <v>81</v>
      </c>
      <c r="L108" s="4" t="s">
        <v>860</v>
      </c>
      <c r="M108">
        <v>5</v>
      </c>
      <c r="N108">
        <v>2</v>
      </c>
      <c r="O108" s="4" t="s">
        <v>25</v>
      </c>
      <c r="P108" s="5">
        <v>44410</v>
      </c>
      <c r="Q108">
        <v>9</v>
      </c>
      <c r="R108">
        <v>13</v>
      </c>
      <c r="S108" s="4" t="s">
        <v>60</v>
      </c>
      <c r="T108" s="4" t="s">
        <v>864</v>
      </c>
      <c r="U108" t="str">
        <f t="shared" si="9"/>
        <v>Overweight</v>
      </c>
      <c r="V108" s="4" t="str">
        <f t="shared" si="10"/>
        <v>Aged</v>
      </c>
      <c r="W108" s="4" t="str">
        <f t="shared" si="11"/>
        <v>Normal</v>
      </c>
      <c r="X108" s="4">
        <f t="shared" si="12"/>
        <v>0</v>
      </c>
      <c r="Y108" s="4">
        <f t="shared" si="13"/>
        <v>0</v>
      </c>
      <c r="Z108" s="4">
        <f t="shared" si="14"/>
        <v>0</v>
      </c>
      <c r="AA108" s="4">
        <f t="shared" si="15"/>
        <v>1</v>
      </c>
      <c r="AB108" s="4">
        <f t="shared" si="16"/>
        <v>0</v>
      </c>
      <c r="AC108" s="4">
        <f>SUM(Table1_2[[#This Row],[bp score]],Table1_2[[#This Row],[bmi score]],Table1_2[[#This Row],[Csmoking score]],Table1_2[[#This Row],[Condition score]],Table1_2[[#This Row],[Cholesterol score]],)</f>
        <v>1</v>
      </c>
      <c r="AD108" s="4" t="str">
        <f t="shared" si="17"/>
        <v>Low risk</v>
      </c>
    </row>
    <row r="109" spans="1:30" x14ac:dyDescent="0.35">
      <c r="A109" s="4" t="s">
        <v>374</v>
      </c>
      <c r="B109" s="4" t="s">
        <v>160</v>
      </c>
      <c r="C109">
        <v>46</v>
      </c>
      <c r="D109" s="4" t="s">
        <v>73</v>
      </c>
      <c r="E109" s="4" t="s">
        <v>65</v>
      </c>
      <c r="F109" s="4" t="s">
        <v>82</v>
      </c>
      <c r="G109">
        <v>19</v>
      </c>
      <c r="H109">
        <v>169</v>
      </c>
      <c r="I109">
        <v>68</v>
      </c>
      <c r="J109">
        <v>229</v>
      </c>
      <c r="K109">
        <v>100</v>
      </c>
      <c r="L109" s="4" t="s">
        <v>860</v>
      </c>
      <c r="M109">
        <v>0</v>
      </c>
      <c r="N109">
        <v>7</v>
      </c>
      <c r="O109" s="4" t="s">
        <v>25</v>
      </c>
      <c r="P109" s="5">
        <v>44586</v>
      </c>
      <c r="Q109">
        <v>0</v>
      </c>
      <c r="R109">
        <v>9</v>
      </c>
      <c r="S109" s="4" t="s">
        <v>92</v>
      </c>
      <c r="T109" s="4" t="s">
        <v>100</v>
      </c>
      <c r="U109" t="str">
        <f t="shared" si="9"/>
        <v>Normal</v>
      </c>
      <c r="V109" s="4" t="str">
        <f t="shared" si="10"/>
        <v>Elder</v>
      </c>
      <c r="W109" s="4" t="str">
        <f t="shared" si="11"/>
        <v>High Bp</v>
      </c>
      <c r="X109" s="4">
        <f t="shared" si="12"/>
        <v>1</v>
      </c>
      <c r="Y109" s="4">
        <f t="shared" si="13"/>
        <v>0</v>
      </c>
      <c r="Z109" s="4">
        <f t="shared" si="14"/>
        <v>0</v>
      </c>
      <c r="AA109" s="4">
        <f t="shared" si="15"/>
        <v>1</v>
      </c>
      <c r="AB109" s="4">
        <f t="shared" si="16"/>
        <v>1</v>
      </c>
      <c r="AC109" s="4">
        <f>SUM(Table1_2[[#This Row],[bp score]],Table1_2[[#This Row],[bmi score]],Table1_2[[#This Row],[Csmoking score]],Table1_2[[#This Row],[Condition score]],Table1_2[[#This Row],[Cholesterol score]],)</f>
        <v>3</v>
      </c>
      <c r="AD109" s="4" t="str">
        <f t="shared" si="17"/>
        <v>Medium risk</v>
      </c>
    </row>
    <row r="110" spans="1:30" x14ac:dyDescent="0.35">
      <c r="A110" s="4" t="s">
        <v>376</v>
      </c>
      <c r="B110" s="4" t="s">
        <v>377</v>
      </c>
      <c r="C110">
        <v>46</v>
      </c>
      <c r="D110" s="4" t="s">
        <v>73</v>
      </c>
      <c r="E110" s="4" t="s">
        <v>23</v>
      </c>
      <c r="F110" s="4" t="s">
        <v>90</v>
      </c>
      <c r="G110">
        <v>25.7</v>
      </c>
      <c r="H110">
        <v>135</v>
      </c>
      <c r="I110">
        <v>72</v>
      </c>
      <c r="J110">
        <v>168</v>
      </c>
      <c r="K110">
        <v>78</v>
      </c>
      <c r="L110" s="4" t="s">
        <v>860</v>
      </c>
      <c r="M110">
        <v>0</v>
      </c>
      <c r="N110">
        <v>1</v>
      </c>
      <c r="O110" s="4" t="s">
        <v>35</v>
      </c>
      <c r="P110" s="5">
        <v>44596</v>
      </c>
      <c r="Q110">
        <v>19</v>
      </c>
      <c r="R110">
        <v>1</v>
      </c>
      <c r="S110" s="4" t="s">
        <v>92</v>
      </c>
      <c r="T110" s="4" t="s">
        <v>862</v>
      </c>
      <c r="U110" t="str">
        <f t="shared" si="9"/>
        <v>Overweight</v>
      </c>
      <c r="V110" s="4" t="str">
        <f t="shared" si="10"/>
        <v>Elder</v>
      </c>
      <c r="W110" s="4" t="str">
        <f t="shared" si="11"/>
        <v>High Bp</v>
      </c>
      <c r="X110" s="4">
        <f t="shared" si="12"/>
        <v>1</v>
      </c>
      <c r="Y110" s="4">
        <f t="shared" si="13"/>
        <v>0</v>
      </c>
      <c r="Z110" s="4">
        <f t="shared" si="14"/>
        <v>0</v>
      </c>
      <c r="AA110" s="4">
        <f t="shared" si="15"/>
        <v>1</v>
      </c>
      <c r="AB110" s="4">
        <f t="shared" si="16"/>
        <v>0</v>
      </c>
      <c r="AC110" s="4">
        <f>SUM(Table1_2[[#This Row],[bp score]],Table1_2[[#This Row],[bmi score]],Table1_2[[#This Row],[Csmoking score]],Table1_2[[#This Row],[Condition score]],Table1_2[[#This Row],[Cholesterol score]],)</f>
        <v>2</v>
      </c>
      <c r="AD110" s="4" t="str">
        <f t="shared" si="17"/>
        <v>Medium risk</v>
      </c>
    </row>
    <row r="111" spans="1:30" x14ac:dyDescent="0.35">
      <c r="A111" s="4" t="s">
        <v>379</v>
      </c>
      <c r="B111" s="4" t="s">
        <v>347</v>
      </c>
      <c r="C111">
        <v>47</v>
      </c>
      <c r="D111" s="4" t="s">
        <v>73</v>
      </c>
      <c r="E111" s="4" t="s">
        <v>23</v>
      </c>
      <c r="F111" s="4" t="s">
        <v>75</v>
      </c>
      <c r="G111">
        <v>22.4</v>
      </c>
      <c r="H111">
        <v>107</v>
      </c>
      <c r="I111">
        <v>68</v>
      </c>
      <c r="J111">
        <v>213</v>
      </c>
      <c r="K111">
        <v>144</v>
      </c>
      <c r="L111" s="4" t="s">
        <v>861</v>
      </c>
      <c r="M111">
        <v>0</v>
      </c>
      <c r="N111">
        <v>6</v>
      </c>
      <c r="O111" s="4" t="s">
        <v>35</v>
      </c>
      <c r="P111" s="5">
        <v>44686</v>
      </c>
      <c r="Q111">
        <v>16</v>
      </c>
      <c r="R111">
        <v>7</v>
      </c>
      <c r="S111" s="4" t="s">
        <v>99</v>
      </c>
      <c r="T111" s="4" t="s">
        <v>863</v>
      </c>
      <c r="U111" t="str">
        <f t="shared" si="9"/>
        <v>Normal</v>
      </c>
      <c r="V111" s="4" t="str">
        <f t="shared" si="10"/>
        <v>Elder</v>
      </c>
      <c r="W111" s="4" t="str">
        <f t="shared" si="11"/>
        <v>Normal</v>
      </c>
      <c r="X111" s="4">
        <f t="shared" si="12"/>
        <v>0</v>
      </c>
      <c r="Y111" s="4">
        <f t="shared" si="13"/>
        <v>0</v>
      </c>
      <c r="Z111" s="4">
        <f t="shared" si="14"/>
        <v>0</v>
      </c>
      <c r="AA111" s="4">
        <f t="shared" si="15"/>
        <v>1</v>
      </c>
      <c r="AB111" s="4">
        <f t="shared" si="16"/>
        <v>1</v>
      </c>
      <c r="AC111" s="4">
        <f>SUM(Table1_2[[#This Row],[bp score]],Table1_2[[#This Row],[bmi score]],Table1_2[[#This Row],[Csmoking score]],Table1_2[[#This Row],[Condition score]],Table1_2[[#This Row],[Cholesterol score]],)</f>
        <v>2</v>
      </c>
      <c r="AD111" s="4" t="str">
        <f t="shared" si="17"/>
        <v>Medium risk</v>
      </c>
    </row>
    <row r="112" spans="1:30" x14ac:dyDescent="0.35">
      <c r="A112" s="4" t="s">
        <v>381</v>
      </c>
      <c r="B112" s="4" t="s">
        <v>304</v>
      </c>
      <c r="C112">
        <v>57</v>
      </c>
      <c r="D112" s="4" t="s">
        <v>32</v>
      </c>
      <c r="E112" s="4" t="s">
        <v>65</v>
      </c>
      <c r="F112" s="4" t="s">
        <v>75</v>
      </c>
      <c r="G112">
        <v>29.4</v>
      </c>
      <c r="H112">
        <v>144</v>
      </c>
      <c r="I112">
        <v>101</v>
      </c>
      <c r="J112">
        <v>237</v>
      </c>
      <c r="K112">
        <v>204</v>
      </c>
      <c r="L112" s="4" t="s">
        <v>860</v>
      </c>
      <c r="M112">
        <v>6</v>
      </c>
      <c r="N112">
        <v>7</v>
      </c>
      <c r="O112" s="4" t="s">
        <v>25</v>
      </c>
      <c r="P112" s="5">
        <v>45113</v>
      </c>
      <c r="Q112">
        <v>17</v>
      </c>
      <c r="R112">
        <v>15</v>
      </c>
      <c r="S112" s="4" t="s">
        <v>78</v>
      </c>
      <c r="T112" s="4" t="s">
        <v>862</v>
      </c>
      <c r="U112" t="str">
        <f t="shared" si="9"/>
        <v>Overweight</v>
      </c>
      <c r="V112" s="4" t="str">
        <f t="shared" si="10"/>
        <v>Aged</v>
      </c>
      <c r="W112" s="4" t="str">
        <f t="shared" si="11"/>
        <v>High Bp</v>
      </c>
      <c r="X112" s="4">
        <f t="shared" si="12"/>
        <v>1</v>
      </c>
      <c r="Y112" s="4">
        <f t="shared" si="13"/>
        <v>0</v>
      </c>
      <c r="Z112" s="4">
        <f t="shared" si="14"/>
        <v>0</v>
      </c>
      <c r="AA112" s="4">
        <f t="shared" si="15"/>
        <v>0</v>
      </c>
      <c r="AB112" s="4">
        <f t="shared" si="16"/>
        <v>1</v>
      </c>
      <c r="AC112" s="4">
        <f>SUM(Table1_2[[#This Row],[bp score]],Table1_2[[#This Row],[bmi score]],Table1_2[[#This Row],[Csmoking score]],Table1_2[[#This Row],[Condition score]],Table1_2[[#This Row],[Cholesterol score]],)</f>
        <v>2</v>
      </c>
      <c r="AD112" s="4" t="str">
        <f t="shared" si="17"/>
        <v>Medium risk</v>
      </c>
    </row>
    <row r="113" spans="1:30" x14ac:dyDescent="0.35">
      <c r="A113" s="4" t="s">
        <v>383</v>
      </c>
      <c r="B113" s="4" t="s">
        <v>384</v>
      </c>
      <c r="C113">
        <v>51</v>
      </c>
      <c r="D113" s="4" t="s">
        <v>32</v>
      </c>
      <c r="E113" s="4" t="s">
        <v>131</v>
      </c>
      <c r="F113" s="4" t="s">
        <v>82</v>
      </c>
      <c r="G113">
        <v>41.2</v>
      </c>
      <c r="H113">
        <v>167</v>
      </c>
      <c r="I113">
        <v>68</v>
      </c>
      <c r="J113">
        <v>239</v>
      </c>
      <c r="K113">
        <v>132</v>
      </c>
      <c r="L113" s="4" t="s">
        <v>859</v>
      </c>
      <c r="M113">
        <v>3</v>
      </c>
      <c r="N113">
        <v>6</v>
      </c>
      <c r="O113" s="4" t="s">
        <v>35</v>
      </c>
      <c r="P113" s="5">
        <v>45446</v>
      </c>
      <c r="Q113">
        <v>17</v>
      </c>
      <c r="R113">
        <v>6</v>
      </c>
      <c r="S113" s="4" t="s">
        <v>99</v>
      </c>
      <c r="T113" s="4" t="s">
        <v>863</v>
      </c>
      <c r="U113" t="str">
        <f t="shared" si="9"/>
        <v>Obese</v>
      </c>
      <c r="V113" s="4" t="str">
        <f t="shared" si="10"/>
        <v>Aged</v>
      </c>
      <c r="W113" s="4" t="str">
        <f t="shared" si="11"/>
        <v>High Bp</v>
      </c>
      <c r="X113" s="4">
        <f t="shared" si="12"/>
        <v>1</v>
      </c>
      <c r="Y113" s="4">
        <f t="shared" si="13"/>
        <v>1</v>
      </c>
      <c r="Z113" s="4">
        <f t="shared" si="14"/>
        <v>1</v>
      </c>
      <c r="AA113" s="4">
        <f t="shared" si="15"/>
        <v>1</v>
      </c>
      <c r="AB113" s="4">
        <f t="shared" si="16"/>
        <v>1</v>
      </c>
      <c r="AC113" s="4">
        <f>SUM(Table1_2[[#This Row],[bp score]],Table1_2[[#This Row],[bmi score]],Table1_2[[#This Row],[Csmoking score]],Table1_2[[#This Row],[Condition score]],Table1_2[[#This Row],[Cholesterol score]],)</f>
        <v>5</v>
      </c>
      <c r="AD113" s="4" t="str">
        <f t="shared" si="17"/>
        <v>High risk</v>
      </c>
    </row>
    <row r="114" spans="1:30" x14ac:dyDescent="0.35">
      <c r="A114" s="4" t="s">
        <v>386</v>
      </c>
      <c r="B114" s="4" t="s">
        <v>387</v>
      </c>
      <c r="C114">
        <v>60</v>
      </c>
      <c r="D114" s="4" t="s">
        <v>32</v>
      </c>
      <c r="E114" s="4" t="s">
        <v>131</v>
      </c>
      <c r="F114" s="4" t="s">
        <v>52</v>
      </c>
      <c r="G114">
        <v>37.1</v>
      </c>
      <c r="H114">
        <v>127</v>
      </c>
      <c r="I114">
        <v>90</v>
      </c>
      <c r="J114">
        <v>193</v>
      </c>
      <c r="K114">
        <v>155</v>
      </c>
      <c r="L114" s="4" t="s">
        <v>859</v>
      </c>
      <c r="M114">
        <v>0</v>
      </c>
      <c r="N114">
        <v>4</v>
      </c>
      <c r="O114" s="4" t="s">
        <v>35</v>
      </c>
      <c r="P114" s="5">
        <v>44555</v>
      </c>
      <c r="Q114">
        <v>15</v>
      </c>
      <c r="R114">
        <v>7</v>
      </c>
      <c r="S114" s="4" t="s">
        <v>46</v>
      </c>
      <c r="T114" s="4" t="s">
        <v>862</v>
      </c>
      <c r="U114" t="str">
        <f t="shared" si="9"/>
        <v>Obese</v>
      </c>
      <c r="V114" s="4" t="str">
        <f t="shared" si="10"/>
        <v>Aged</v>
      </c>
      <c r="W114" s="4" t="str">
        <f t="shared" si="11"/>
        <v>High Bp</v>
      </c>
      <c r="X114" s="4">
        <f t="shared" si="12"/>
        <v>1</v>
      </c>
      <c r="Y114" s="4">
        <f t="shared" si="13"/>
        <v>1</v>
      </c>
      <c r="Z114" s="4">
        <f t="shared" si="14"/>
        <v>1</v>
      </c>
      <c r="AA114" s="4">
        <f t="shared" si="15"/>
        <v>0</v>
      </c>
      <c r="AB114" s="4">
        <f t="shared" si="16"/>
        <v>0</v>
      </c>
      <c r="AC114" s="4">
        <f>SUM(Table1_2[[#This Row],[bp score]],Table1_2[[#This Row],[bmi score]],Table1_2[[#This Row],[Csmoking score]],Table1_2[[#This Row],[Condition score]],Table1_2[[#This Row],[Cholesterol score]],)</f>
        <v>3</v>
      </c>
      <c r="AD114" s="4" t="str">
        <f t="shared" si="17"/>
        <v>Medium risk</v>
      </c>
    </row>
    <row r="115" spans="1:30" x14ac:dyDescent="0.35">
      <c r="A115" s="4" t="s">
        <v>389</v>
      </c>
      <c r="B115" s="4" t="s">
        <v>390</v>
      </c>
      <c r="C115">
        <v>57</v>
      </c>
      <c r="D115" s="4" t="s">
        <v>73</v>
      </c>
      <c r="E115" s="4" t="s">
        <v>74</v>
      </c>
      <c r="F115" s="4" t="s">
        <v>82</v>
      </c>
      <c r="G115">
        <v>28.7</v>
      </c>
      <c r="H115">
        <v>145</v>
      </c>
      <c r="I115">
        <v>79</v>
      </c>
      <c r="J115">
        <v>206</v>
      </c>
      <c r="K115">
        <v>162</v>
      </c>
      <c r="L115" s="4" t="s">
        <v>860</v>
      </c>
      <c r="M115">
        <v>7</v>
      </c>
      <c r="N115">
        <v>8</v>
      </c>
      <c r="O115" s="4" t="s">
        <v>35</v>
      </c>
      <c r="P115" s="5">
        <v>45450</v>
      </c>
      <c r="Q115">
        <v>11</v>
      </c>
      <c r="R115">
        <v>10</v>
      </c>
      <c r="S115" s="4" t="s">
        <v>99</v>
      </c>
      <c r="T115" s="4" t="s">
        <v>862</v>
      </c>
      <c r="U115" t="str">
        <f t="shared" si="9"/>
        <v>Overweight</v>
      </c>
      <c r="V115" s="4" t="str">
        <f t="shared" si="10"/>
        <v>Aged</v>
      </c>
      <c r="W115" s="4" t="str">
        <f t="shared" si="11"/>
        <v>High Bp</v>
      </c>
      <c r="X115" s="4">
        <f t="shared" si="12"/>
        <v>1</v>
      </c>
      <c r="Y115" s="4">
        <f t="shared" si="13"/>
        <v>0</v>
      </c>
      <c r="Z115" s="4">
        <f t="shared" si="14"/>
        <v>0</v>
      </c>
      <c r="AA115" s="4">
        <f t="shared" si="15"/>
        <v>1</v>
      </c>
      <c r="AB115" s="4">
        <f t="shared" si="16"/>
        <v>1</v>
      </c>
      <c r="AC115" s="4">
        <f>SUM(Table1_2[[#This Row],[bp score]],Table1_2[[#This Row],[bmi score]],Table1_2[[#This Row],[Csmoking score]],Table1_2[[#This Row],[Condition score]],Table1_2[[#This Row],[Cholesterol score]],)</f>
        <v>3</v>
      </c>
      <c r="AD115" s="4" t="str">
        <f t="shared" si="17"/>
        <v>Medium risk</v>
      </c>
    </row>
    <row r="116" spans="1:30" x14ac:dyDescent="0.35">
      <c r="A116" s="4" t="s">
        <v>392</v>
      </c>
      <c r="B116" s="4" t="s">
        <v>393</v>
      </c>
      <c r="C116">
        <v>31</v>
      </c>
      <c r="D116" s="4" t="s">
        <v>32</v>
      </c>
      <c r="E116" s="4" t="s">
        <v>74</v>
      </c>
      <c r="F116" s="4" t="s">
        <v>75</v>
      </c>
      <c r="G116">
        <v>40.4</v>
      </c>
      <c r="H116">
        <v>153</v>
      </c>
      <c r="I116">
        <v>78</v>
      </c>
      <c r="J116">
        <v>179</v>
      </c>
      <c r="K116">
        <v>120</v>
      </c>
      <c r="L116" s="4" t="s">
        <v>860</v>
      </c>
      <c r="M116">
        <v>3</v>
      </c>
      <c r="N116">
        <v>7</v>
      </c>
      <c r="O116" s="4" t="s">
        <v>35</v>
      </c>
      <c r="P116" s="5">
        <v>45556</v>
      </c>
      <c r="Q116">
        <v>10</v>
      </c>
      <c r="R116">
        <v>8</v>
      </c>
      <c r="S116" s="4" t="s">
        <v>92</v>
      </c>
      <c r="T116" s="4" t="s">
        <v>100</v>
      </c>
      <c r="U116" t="str">
        <f t="shared" si="9"/>
        <v>Obese</v>
      </c>
      <c r="V116" s="4" t="str">
        <f t="shared" si="10"/>
        <v>Adult</v>
      </c>
      <c r="W116" s="4" t="str">
        <f t="shared" si="11"/>
        <v>High Bp</v>
      </c>
      <c r="X116" s="4">
        <f t="shared" si="12"/>
        <v>1</v>
      </c>
      <c r="Y116" s="4">
        <f t="shared" si="13"/>
        <v>1</v>
      </c>
      <c r="Z116" s="4">
        <f t="shared" si="14"/>
        <v>0</v>
      </c>
      <c r="AA116" s="4">
        <f t="shared" si="15"/>
        <v>1</v>
      </c>
      <c r="AB116" s="4">
        <f t="shared" si="16"/>
        <v>0</v>
      </c>
      <c r="AC116" s="4">
        <f>SUM(Table1_2[[#This Row],[bp score]],Table1_2[[#This Row],[bmi score]],Table1_2[[#This Row],[Csmoking score]],Table1_2[[#This Row],[Condition score]],Table1_2[[#This Row],[Cholesterol score]],)</f>
        <v>3</v>
      </c>
      <c r="AD116" s="4" t="str">
        <f t="shared" si="17"/>
        <v>Medium risk</v>
      </c>
    </row>
    <row r="117" spans="1:30" x14ac:dyDescent="0.35">
      <c r="A117" s="4" t="s">
        <v>395</v>
      </c>
      <c r="B117" s="4" t="s">
        <v>396</v>
      </c>
      <c r="C117">
        <v>44</v>
      </c>
      <c r="D117" s="4" t="s">
        <v>32</v>
      </c>
      <c r="E117" s="4" t="s">
        <v>33</v>
      </c>
      <c r="F117" s="4" t="s">
        <v>75</v>
      </c>
      <c r="G117">
        <v>29.2</v>
      </c>
      <c r="H117">
        <v>169</v>
      </c>
      <c r="I117">
        <v>101</v>
      </c>
      <c r="J117">
        <v>155</v>
      </c>
      <c r="K117">
        <v>204</v>
      </c>
      <c r="L117" s="4" t="s">
        <v>859</v>
      </c>
      <c r="M117">
        <v>1</v>
      </c>
      <c r="N117">
        <v>1</v>
      </c>
      <c r="O117" s="4" t="s">
        <v>25</v>
      </c>
      <c r="P117" s="5">
        <v>45378</v>
      </c>
      <c r="Q117">
        <v>20</v>
      </c>
      <c r="R117">
        <v>7</v>
      </c>
      <c r="S117" s="4" t="s">
        <v>92</v>
      </c>
      <c r="T117" s="4" t="s">
        <v>864</v>
      </c>
      <c r="U117" t="str">
        <f t="shared" si="9"/>
        <v>Overweight</v>
      </c>
      <c r="V117" s="4" t="str">
        <f t="shared" si="10"/>
        <v>Elder</v>
      </c>
      <c r="W117" s="4" t="str">
        <f t="shared" si="11"/>
        <v>High Bp</v>
      </c>
      <c r="X117" s="4">
        <f t="shared" si="12"/>
        <v>1</v>
      </c>
      <c r="Y117" s="4">
        <f t="shared" si="13"/>
        <v>0</v>
      </c>
      <c r="Z117" s="4">
        <f t="shared" si="14"/>
        <v>1</v>
      </c>
      <c r="AA117" s="4">
        <f t="shared" si="15"/>
        <v>1</v>
      </c>
      <c r="AB117" s="4">
        <f t="shared" si="16"/>
        <v>0</v>
      </c>
      <c r="AC117" s="4">
        <f>SUM(Table1_2[[#This Row],[bp score]],Table1_2[[#This Row],[bmi score]],Table1_2[[#This Row],[Csmoking score]],Table1_2[[#This Row],[Condition score]],Table1_2[[#This Row],[Cholesterol score]],)</f>
        <v>3</v>
      </c>
      <c r="AD117" s="4" t="str">
        <f t="shared" si="17"/>
        <v>Medium risk</v>
      </c>
    </row>
    <row r="118" spans="1:30" x14ac:dyDescent="0.35">
      <c r="A118" s="4" t="s">
        <v>398</v>
      </c>
      <c r="B118" s="4" t="s">
        <v>399</v>
      </c>
      <c r="C118">
        <v>54</v>
      </c>
      <c r="D118" s="4" t="s">
        <v>73</v>
      </c>
      <c r="E118" s="4" t="s">
        <v>127</v>
      </c>
      <c r="F118" s="4" t="s">
        <v>117</v>
      </c>
      <c r="G118">
        <v>32.4</v>
      </c>
      <c r="H118">
        <v>161</v>
      </c>
      <c r="I118">
        <v>102</v>
      </c>
      <c r="J118">
        <v>264</v>
      </c>
      <c r="K118">
        <v>74</v>
      </c>
      <c r="L118" s="4" t="s">
        <v>859</v>
      </c>
      <c r="M118">
        <v>0</v>
      </c>
      <c r="N118">
        <v>9</v>
      </c>
      <c r="O118" s="4" t="s">
        <v>25</v>
      </c>
      <c r="P118" s="5">
        <v>44213</v>
      </c>
      <c r="Q118">
        <v>8</v>
      </c>
      <c r="R118">
        <v>17</v>
      </c>
      <c r="S118" s="4" t="s">
        <v>78</v>
      </c>
      <c r="T118" s="4" t="s">
        <v>862</v>
      </c>
      <c r="U118" t="str">
        <f t="shared" si="9"/>
        <v>Obese</v>
      </c>
      <c r="V118" s="4" t="str">
        <f t="shared" si="10"/>
        <v>Aged</v>
      </c>
      <c r="W118" s="4" t="str">
        <f t="shared" si="11"/>
        <v>High Bp</v>
      </c>
      <c r="X118" s="4">
        <f t="shared" si="12"/>
        <v>1</v>
      </c>
      <c r="Y118" s="4">
        <f t="shared" si="13"/>
        <v>1</v>
      </c>
      <c r="Z118" s="4">
        <f t="shared" si="14"/>
        <v>1</v>
      </c>
      <c r="AA118" s="4">
        <f t="shared" si="15"/>
        <v>0</v>
      </c>
      <c r="AB118" s="4">
        <f t="shared" si="16"/>
        <v>1</v>
      </c>
      <c r="AC118" s="4">
        <f>SUM(Table1_2[[#This Row],[bp score]],Table1_2[[#This Row],[bmi score]],Table1_2[[#This Row],[Csmoking score]],Table1_2[[#This Row],[Condition score]],Table1_2[[#This Row],[Cholesterol score]],)</f>
        <v>4</v>
      </c>
      <c r="AD118" s="4" t="str">
        <f t="shared" si="17"/>
        <v>High risk</v>
      </c>
    </row>
    <row r="119" spans="1:30" x14ac:dyDescent="0.35">
      <c r="A119" s="4" t="s">
        <v>401</v>
      </c>
      <c r="B119" s="4" t="s">
        <v>402</v>
      </c>
      <c r="C119">
        <v>33</v>
      </c>
      <c r="D119" s="4" t="s">
        <v>73</v>
      </c>
      <c r="E119" s="4" t="s">
        <v>131</v>
      </c>
      <c r="F119" s="4" t="s">
        <v>75</v>
      </c>
      <c r="G119">
        <v>20.7</v>
      </c>
      <c r="H119">
        <v>124</v>
      </c>
      <c r="I119">
        <v>99</v>
      </c>
      <c r="J119">
        <v>274</v>
      </c>
      <c r="K119">
        <v>134</v>
      </c>
      <c r="L119" s="4" t="s">
        <v>860</v>
      </c>
      <c r="M119">
        <v>4</v>
      </c>
      <c r="N119">
        <v>7</v>
      </c>
      <c r="O119" s="4" t="s">
        <v>35</v>
      </c>
      <c r="P119" s="5">
        <v>45122</v>
      </c>
      <c r="Q119">
        <v>18</v>
      </c>
      <c r="R119">
        <v>7</v>
      </c>
      <c r="S119" s="4" t="s">
        <v>78</v>
      </c>
      <c r="T119" s="4" t="s">
        <v>863</v>
      </c>
      <c r="U119" t="str">
        <f t="shared" si="9"/>
        <v>Normal</v>
      </c>
      <c r="V119" s="4" t="str">
        <f t="shared" si="10"/>
        <v>Adult</v>
      </c>
      <c r="W119" s="4" t="str">
        <f t="shared" si="11"/>
        <v>High Bp</v>
      </c>
      <c r="X119" s="4">
        <f t="shared" si="12"/>
        <v>1</v>
      </c>
      <c r="Y119" s="4">
        <f t="shared" si="13"/>
        <v>0</v>
      </c>
      <c r="Z119" s="4">
        <f t="shared" si="14"/>
        <v>0</v>
      </c>
      <c r="AA119" s="4">
        <f t="shared" si="15"/>
        <v>0</v>
      </c>
      <c r="AB119" s="4">
        <f t="shared" si="16"/>
        <v>1</v>
      </c>
      <c r="AC119" s="4">
        <f>SUM(Table1_2[[#This Row],[bp score]],Table1_2[[#This Row],[bmi score]],Table1_2[[#This Row],[Csmoking score]],Table1_2[[#This Row],[Condition score]],Table1_2[[#This Row],[Cholesterol score]],)</f>
        <v>2</v>
      </c>
      <c r="AD119" s="4" t="str">
        <f t="shared" si="17"/>
        <v>Medium risk</v>
      </c>
    </row>
    <row r="120" spans="1:30" x14ac:dyDescent="0.35">
      <c r="A120" s="4" t="s">
        <v>404</v>
      </c>
      <c r="B120" s="4" t="s">
        <v>154</v>
      </c>
      <c r="C120">
        <v>27</v>
      </c>
      <c r="D120" s="4" t="s">
        <v>32</v>
      </c>
      <c r="E120" s="4" t="s">
        <v>65</v>
      </c>
      <c r="F120" s="4" t="s">
        <v>82</v>
      </c>
      <c r="G120">
        <v>30.8</v>
      </c>
      <c r="H120">
        <v>107</v>
      </c>
      <c r="I120">
        <v>100</v>
      </c>
      <c r="J120">
        <v>142</v>
      </c>
      <c r="K120">
        <v>249</v>
      </c>
      <c r="L120" s="4" t="s">
        <v>860</v>
      </c>
      <c r="M120">
        <v>1</v>
      </c>
      <c r="N120">
        <v>8</v>
      </c>
      <c r="O120" s="4" t="s">
        <v>25</v>
      </c>
      <c r="P120" s="5">
        <v>45227</v>
      </c>
      <c r="Q120">
        <v>3</v>
      </c>
      <c r="R120">
        <v>16</v>
      </c>
      <c r="S120" s="4" t="s">
        <v>99</v>
      </c>
      <c r="T120" s="4" t="s">
        <v>862</v>
      </c>
      <c r="U120" t="str">
        <f t="shared" si="9"/>
        <v>Obese</v>
      </c>
      <c r="V120" s="4" t="str">
        <f t="shared" si="10"/>
        <v>Young adult</v>
      </c>
      <c r="W120" s="4" t="str">
        <f t="shared" si="11"/>
        <v>High Bp</v>
      </c>
      <c r="X120" s="4">
        <f t="shared" si="12"/>
        <v>1</v>
      </c>
      <c r="Y120" s="4">
        <f t="shared" si="13"/>
        <v>1</v>
      </c>
      <c r="Z120" s="4">
        <f t="shared" si="14"/>
        <v>0</v>
      </c>
      <c r="AA120" s="4">
        <f t="shared" si="15"/>
        <v>1</v>
      </c>
      <c r="AB120" s="4">
        <f t="shared" si="16"/>
        <v>0</v>
      </c>
      <c r="AC120" s="4">
        <f>SUM(Table1_2[[#This Row],[bp score]],Table1_2[[#This Row],[bmi score]],Table1_2[[#This Row],[Csmoking score]],Table1_2[[#This Row],[Condition score]],Table1_2[[#This Row],[Cholesterol score]],)</f>
        <v>3</v>
      </c>
      <c r="AD120" s="4" t="str">
        <f t="shared" si="17"/>
        <v>Medium risk</v>
      </c>
    </row>
    <row r="121" spans="1:30" x14ac:dyDescent="0.35">
      <c r="A121" s="4" t="s">
        <v>406</v>
      </c>
      <c r="B121" s="4" t="s">
        <v>407</v>
      </c>
      <c r="C121">
        <v>20</v>
      </c>
      <c r="D121" s="4" t="s">
        <v>32</v>
      </c>
      <c r="E121" s="4" t="s">
        <v>131</v>
      </c>
      <c r="F121" s="4" t="s">
        <v>57</v>
      </c>
      <c r="G121">
        <v>39.5</v>
      </c>
      <c r="H121">
        <v>134</v>
      </c>
      <c r="I121">
        <v>71</v>
      </c>
      <c r="J121">
        <v>220</v>
      </c>
      <c r="K121">
        <v>74</v>
      </c>
      <c r="L121" s="4" t="s">
        <v>861</v>
      </c>
      <c r="M121">
        <v>0</v>
      </c>
      <c r="N121">
        <v>3</v>
      </c>
      <c r="O121" s="4" t="s">
        <v>25</v>
      </c>
      <c r="P121" s="5" t="s">
        <v>54</v>
      </c>
      <c r="Q121">
        <v>0</v>
      </c>
      <c r="R121">
        <v>18</v>
      </c>
      <c r="S121" s="4" t="s">
        <v>78</v>
      </c>
      <c r="T121" s="4" t="s">
        <v>100</v>
      </c>
      <c r="U121" t="str">
        <f t="shared" si="9"/>
        <v>Obese</v>
      </c>
      <c r="V121" s="4" t="str">
        <f t="shared" si="10"/>
        <v>Young adult</v>
      </c>
      <c r="W121" s="4" t="str">
        <f t="shared" si="11"/>
        <v>High Bp</v>
      </c>
      <c r="X121" s="4">
        <f t="shared" si="12"/>
        <v>1</v>
      </c>
      <c r="Y121" s="4">
        <f t="shared" si="13"/>
        <v>1</v>
      </c>
      <c r="Z121" s="4">
        <f t="shared" si="14"/>
        <v>0</v>
      </c>
      <c r="AA121" s="4">
        <f t="shared" si="15"/>
        <v>0</v>
      </c>
      <c r="AB121" s="4">
        <f t="shared" si="16"/>
        <v>1</v>
      </c>
      <c r="AC121" s="4">
        <f>SUM(Table1_2[[#This Row],[bp score]],Table1_2[[#This Row],[bmi score]],Table1_2[[#This Row],[Csmoking score]],Table1_2[[#This Row],[Condition score]],Table1_2[[#This Row],[Cholesterol score]],)</f>
        <v>3</v>
      </c>
      <c r="AD121" s="4" t="str">
        <f t="shared" si="17"/>
        <v>Medium risk</v>
      </c>
    </row>
    <row r="122" spans="1:30" x14ac:dyDescent="0.35">
      <c r="A122" s="4" t="s">
        <v>408</v>
      </c>
      <c r="B122" s="4" t="s">
        <v>409</v>
      </c>
      <c r="C122">
        <v>30</v>
      </c>
      <c r="D122" s="4" t="s">
        <v>73</v>
      </c>
      <c r="E122" s="4" t="s">
        <v>131</v>
      </c>
      <c r="F122" s="4" t="s">
        <v>117</v>
      </c>
      <c r="G122">
        <v>18.3</v>
      </c>
      <c r="H122">
        <v>155</v>
      </c>
      <c r="I122">
        <v>74</v>
      </c>
      <c r="J122">
        <v>159</v>
      </c>
      <c r="K122">
        <v>157</v>
      </c>
      <c r="L122" s="4" t="s">
        <v>100</v>
      </c>
      <c r="M122">
        <v>0</v>
      </c>
      <c r="N122">
        <v>10</v>
      </c>
      <c r="O122" s="4" t="s">
        <v>25</v>
      </c>
      <c r="P122" s="5">
        <v>44947</v>
      </c>
      <c r="Q122">
        <v>8</v>
      </c>
      <c r="R122">
        <v>14</v>
      </c>
      <c r="S122" s="4" t="s">
        <v>92</v>
      </c>
      <c r="T122" s="4" t="s">
        <v>862</v>
      </c>
      <c r="U122" t="str">
        <f t="shared" si="9"/>
        <v>Underweight</v>
      </c>
      <c r="V122" s="4" t="str">
        <f t="shared" si="10"/>
        <v>Young adult</v>
      </c>
      <c r="W122" s="4" t="str">
        <f t="shared" si="11"/>
        <v>High Bp</v>
      </c>
      <c r="X122" s="4">
        <f t="shared" si="12"/>
        <v>1</v>
      </c>
      <c r="Y122" s="4">
        <f t="shared" si="13"/>
        <v>0</v>
      </c>
      <c r="Z122" s="4">
        <f t="shared" si="14"/>
        <v>0</v>
      </c>
      <c r="AA122" s="4">
        <f t="shared" si="15"/>
        <v>1</v>
      </c>
      <c r="AB122" s="4">
        <f t="shared" si="16"/>
        <v>0</v>
      </c>
      <c r="AC122" s="4">
        <f>SUM(Table1_2[[#This Row],[bp score]],Table1_2[[#This Row],[bmi score]],Table1_2[[#This Row],[Csmoking score]],Table1_2[[#This Row],[Condition score]],Table1_2[[#This Row],[Cholesterol score]],)</f>
        <v>2</v>
      </c>
      <c r="AD122" s="4" t="str">
        <f t="shared" si="17"/>
        <v>Medium risk</v>
      </c>
    </row>
    <row r="123" spans="1:30" x14ac:dyDescent="0.35">
      <c r="A123" s="4" t="s">
        <v>411</v>
      </c>
      <c r="B123" s="4" t="s">
        <v>412</v>
      </c>
      <c r="C123">
        <v>46</v>
      </c>
      <c r="D123" s="4" t="s">
        <v>32</v>
      </c>
      <c r="E123" s="4" t="s">
        <v>33</v>
      </c>
      <c r="F123" s="4" t="s">
        <v>66</v>
      </c>
      <c r="G123">
        <v>33.5</v>
      </c>
      <c r="H123">
        <v>110</v>
      </c>
      <c r="I123">
        <v>99</v>
      </c>
      <c r="J123">
        <v>215</v>
      </c>
      <c r="K123">
        <v>133</v>
      </c>
      <c r="L123" s="4" t="s">
        <v>860</v>
      </c>
      <c r="M123">
        <v>1</v>
      </c>
      <c r="N123">
        <v>5</v>
      </c>
      <c r="O123" s="4" t="s">
        <v>25</v>
      </c>
      <c r="P123" s="5">
        <v>45652</v>
      </c>
      <c r="Q123">
        <v>20</v>
      </c>
      <c r="R123">
        <v>4</v>
      </c>
      <c r="S123" s="4" t="s">
        <v>99</v>
      </c>
      <c r="T123" s="4" t="s">
        <v>864</v>
      </c>
      <c r="U123" t="str">
        <f t="shared" si="9"/>
        <v>Obese</v>
      </c>
      <c r="V123" s="4" t="str">
        <f t="shared" si="10"/>
        <v>Elder</v>
      </c>
      <c r="W123" s="4" t="str">
        <f t="shared" si="11"/>
        <v>High Bp</v>
      </c>
      <c r="X123" s="4">
        <f t="shared" si="12"/>
        <v>1</v>
      </c>
      <c r="Y123" s="4">
        <f t="shared" si="13"/>
        <v>1</v>
      </c>
      <c r="Z123" s="4">
        <f t="shared" si="14"/>
        <v>0</v>
      </c>
      <c r="AA123" s="4">
        <f t="shared" si="15"/>
        <v>1</v>
      </c>
      <c r="AB123" s="4">
        <f t="shared" si="16"/>
        <v>1</v>
      </c>
      <c r="AC123" s="4">
        <f>SUM(Table1_2[[#This Row],[bp score]],Table1_2[[#This Row],[bmi score]],Table1_2[[#This Row],[Csmoking score]],Table1_2[[#This Row],[Condition score]],Table1_2[[#This Row],[Cholesterol score]],)</f>
        <v>4</v>
      </c>
      <c r="AD123" s="4" t="str">
        <f t="shared" si="17"/>
        <v>High risk</v>
      </c>
    </row>
    <row r="124" spans="1:30" x14ac:dyDescent="0.35">
      <c r="A124" s="4" t="s">
        <v>414</v>
      </c>
      <c r="B124" s="4" t="s">
        <v>250</v>
      </c>
      <c r="C124">
        <v>27</v>
      </c>
      <c r="D124" s="4" t="s">
        <v>32</v>
      </c>
      <c r="E124" s="4" t="s">
        <v>74</v>
      </c>
      <c r="F124" s="4" t="s">
        <v>90</v>
      </c>
      <c r="G124">
        <v>26</v>
      </c>
      <c r="H124">
        <v>134</v>
      </c>
      <c r="I124">
        <v>66</v>
      </c>
      <c r="J124">
        <v>173</v>
      </c>
      <c r="K124">
        <v>92</v>
      </c>
      <c r="L124" s="4" t="s">
        <v>860</v>
      </c>
      <c r="M124">
        <v>6</v>
      </c>
      <c r="N124">
        <v>8</v>
      </c>
      <c r="O124" s="4" t="s">
        <v>25</v>
      </c>
      <c r="P124" s="5">
        <v>44199</v>
      </c>
      <c r="Q124">
        <v>11</v>
      </c>
      <c r="R124">
        <v>17</v>
      </c>
      <c r="S124" s="4" t="s">
        <v>92</v>
      </c>
      <c r="T124" s="4" t="s">
        <v>864</v>
      </c>
      <c r="U124" t="str">
        <f t="shared" si="9"/>
        <v>Overweight</v>
      </c>
      <c r="V124" s="4" t="str">
        <f t="shared" si="10"/>
        <v>Young adult</v>
      </c>
      <c r="W124" s="4" t="str">
        <f t="shared" si="11"/>
        <v>High Bp</v>
      </c>
      <c r="X124" s="4">
        <f t="shared" si="12"/>
        <v>1</v>
      </c>
      <c r="Y124" s="4">
        <f t="shared" si="13"/>
        <v>0</v>
      </c>
      <c r="Z124" s="4">
        <f t="shared" si="14"/>
        <v>0</v>
      </c>
      <c r="AA124" s="4">
        <f t="shared" si="15"/>
        <v>1</v>
      </c>
      <c r="AB124" s="4">
        <f t="shared" si="16"/>
        <v>0</v>
      </c>
      <c r="AC124" s="4">
        <f>SUM(Table1_2[[#This Row],[bp score]],Table1_2[[#This Row],[bmi score]],Table1_2[[#This Row],[Csmoking score]],Table1_2[[#This Row],[Condition score]],Table1_2[[#This Row],[Cholesterol score]],)</f>
        <v>2</v>
      </c>
      <c r="AD124" s="4" t="str">
        <f t="shared" si="17"/>
        <v>Medium risk</v>
      </c>
    </row>
    <row r="125" spans="1:30" x14ac:dyDescent="0.35">
      <c r="A125" s="4" t="s">
        <v>416</v>
      </c>
      <c r="B125" s="4" t="s">
        <v>226</v>
      </c>
      <c r="C125">
        <v>40</v>
      </c>
      <c r="D125" s="4" t="s">
        <v>32</v>
      </c>
      <c r="E125" s="4" t="s">
        <v>65</v>
      </c>
      <c r="F125" s="4" t="s">
        <v>82</v>
      </c>
      <c r="G125">
        <v>35.1</v>
      </c>
      <c r="H125">
        <v>131</v>
      </c>
      <c r="I125">
        <v>96</v>
      </c>
      <c r="J125">
        <v>273</v>
      </c>
      <c r="K125">
        <v>113</v>
      </c>
      <c r="L125" s="4" t="s">
        <v>860</v>
      </c>
      <c r="M125">
        <v>2</v>
      </c>
      <c r="N125">
        <v>3</v>
      </c>
      <c r="O125" s="4" t="s">
        <v>25</v>
      </c>
      <c r="P125" s="5">
        <v>45062</v>
      </c>
      <c r="Q125">
        <v>4</v>
      </c>
      <c r="R125">
        <v>2</v>
      </c>
      <c r="S125" s="4" t="s">
        <v>60</v>
      </c>
      <c r="T125" s="4" t="s">
        <v>100</v>
      </c>
      <c r="U125" t="str">
        <f t="shared" si="9"/>
        <v>Obese</v>
      </c>
      <c r="V125" s="4" t="str">
        <f t="shared" si="10"/>
        <v>Adult</v>
      </c>
      <c r="W125" s="4" t="str">
        <f t="shared" si="11"/>
        <v>High Bp</v>
      </c>
      <c r="X125" s="4">
        <f t="shared" si="12"/>
        <v>1</v>
      </c>
      <c r="Y125" s="4">
        <f t="shared" si="13"/>
        <v>1</v>
      </c>
      <c r="Z125" s="4">
        <f t="shared" si="14"/>
        <v>0</v>
      </c>
      <c r="AA125" s="4">
        <f t="shared" si="15"/>
        <v>1</v>
      </c>
      <c r="AB125" s="4">
        <f t="shared" si="16"/>
        <v>1</v>
      </c>
      <c r="AC125" s="4">
        <f>SUM(Table1_2[[#This Row],[bp score]],Table1_2[[#This Row],[bmi score]],Table1_2[[#This Row],[Csmoking score]],Table1_2[[#This Row],[Condition score]],Table1_2[[#This Row],[Cholesterol score]],)</f>
        <v>4</v>
      </c>
      <c r="AD125" s="4" t="str">
        <f t="shared" si="17"/>
        <v>High risk</v>
      </c>
    </row>
    <row r="126" spans="1:30" x14ac:dyDescent="0.35">
      <c r="A126" s="4" t="s">
        <v>418</v>
      </c>
      <c r="B126" s="4" t="s">
        <v>419</v>
      </c>
      <c r="C126">
        <v>41</v>
      </c>
      <c r="D126" s="4" t="s">
        <v>73</v>
      </c>
      <c r="E126" s="4" t="s">
        <v>131</v>
      </c>
      <c r="F126" s="4" t="s">
        <v>117</v>
      </c>
      <c r="G126">
        <v>23.3</v>
      </c>
      <c r="H126">
        <v>131</v>
      </c>
      <c r="I126">
        <v>100</v>
      </c>
      <c r="J126">
        <v>266</v>
      </c>
      <c r="K126">
        <v>222</v>
      </c>
      <c r="L126" s="4" t="s">
        <v>100</v>
      </c>
      <c r="M126">
        <v>3</v>
      </c>
      <c r="N126">
        <v>8</v>
      </c>
      <c r="O126" s="4" t="s">
        <v>35</v>
      </c>
      <c r="P126" s="5">
        <v>44682</v>
      </c>
      <c r="Q126">
        <v>12</v>
      </c>
      <c r="R126">
        <v>10</v>
      </c>
      <c r="S126" s="4" t="s">
        <v>46</v>
      </c>
      <c r="T126" s="4" t="s">
        <v>100</v>
      </c>
      <c r="U126" t="str">
        <f t="shared" si="9"/>
        <v>Normal</v>
      </c>
      <c r="V126" s="4" t="str">
        <f t="shared" si="10"/>
        <v>Elder</v>
      </c>
      <c r="W126" s="4" t="str">
        <f t="shared" si="11"/>
        <v>High Bp</v>
      </c>
      <c r="X126" s="4">
        <f t="shared" si="12"/>
        <v>1</v>
      </c>
      <c r="Y126" s="4">
        <f t="shared" si="13"/>
        <v>0</v>
      </c>
      <c r="Z126" s="4">
        <f t="shared" si="14"/>
        <v>0</v>
      </c>
      <c r="AA126" s="4">
        <f t="shared" si="15"/>
        <v>0</v>
      </c>
      <c r="AB126" s="4">
        <f t="shared" si="16"/>
        <v>1</v>
      </c>
      <c r="AC126" s="4">
        <f>SUM(Table1_2[[#This Row],[bp score]],Table1_2[[#This Row],[bmi score]],Table1_2[[#This Row],[Csmoking score]],Table1_2[[#This Row],[Condition score]],Table1_2[[#This Row],[Cholesterol score]],)</f>
        <v>2</v>
      </c>
      <c r="AD126" s="4" t="str">
        <f t="shared" si="17"/>
        <v>Medium risk</v>
      </c>
    </row>
    <row r="127" spans="1:30" x14ac:dyDescent="0.35">
      <c r="A127" s="4" t="s">
        <v>421</v>
      </c>
      <c r="B127" s="4" t="s">
        <v>422</v>
      </c>
      <c r="C127">
        <v>43</v>
      </c>
      <c r="D127" s="4" t="s">
        <v>32</v>
      </c>
      <c r="E127" s="4" t="s">
        <v>33</v>
      </c>
      <c r="F127" s="4" t="s">
        <v>24</v>
      </c>
      <c r="G127">
        <v>24.5</v>
      </c>
      <c r="H127">
        <v>125</v>
      </c>
      <c r="I127">
        <v>90</v>
      </c>
      <c r="J127">
        <v>220</v>
      </c>
      <c r="K127">
        <v>115</v>
      </c>
      <c r="L127" s="4" t="s">
        <v>860</v>
      </c>
      <c r="M127">
        <v>5</v>
      </c>
      <c r="N127">
        <v>5</v>
      </c>
      <c r="O127" s="4" t="s">
        <v>35</v>
      </c>
      <c r="P127" s="5">
        <v>44725</v>
      </c>
      <c r="Q127">
        <v>8</v>
      </c>
      <c r="R127">
        <v>12</v>
      </c>
      <c r="S127" s="4" t="s">
        <v>78</v>
      </c>
      <c r="T127" s="4" t="s">
        <v>863</v>
      </c>
      <c r="U127" t="str">
        <f t="shared" si="9"/>
        <v>Normal</v>
      </c>
      <c r="V127" s="4" t="str">
        <f t="shared" si="10"/>
        <v>Elder</v>
      </c>
      <c r="W127" s="4" t="str">
        <f t="shared" si="11"/>
        <v>High Bp</v>
      </c>
      <c r="X127" s="4">
        <f t="shared" si="12"/>
        <v>1</v>
      </c>
      <c r="Y127" s="4">
        <f t="shared" si="13"/>
        <v>0</v>
      </c>
      <c r="Z127" s="4">
        <f t="shared" si="14"/>
        <v>0</v>
      </c>
      <c r="AA127" s="4">
        <f t="shared" si="15"/>
        <v>0</v>
      </c>
      <c r="AB127" s="4">
        <f t="shared" si="16"/>
        <v>1</v>
      </c>
      <c r="AC127" s="4">
        <f>SUM(Table1_2[[#This Row],[bp score]],Table1_2[[#This Row],[bmi score]],Table1_2[[#This Row],[Csmoking score]],Table1_2[[#This Row],[Condition score]],Table1_2[[#This Row],[Cholesterol score]],)</f>
        <v>2</v>
      </c>
      <c r="AD127" s="4" t="str">
        <f t="shared" si="17"/>
        <v>Medium risk</v>
      </c>
    </row>
    <row r="128" spans="1:30" x14ac:dyDescent="0.35">
      <c r="A128" s="4" t="s">
        <v>424</v>
      </c>
      <c r="B128" s="4" t="s">
        <v>425</v>
      </c>
      <c r="C128">
        <v>59</v>
      </c>
      <c r="D128" s="4" t="s">
        <v>32</v>
      </c>
      <c r="E128" s="4" t="s">
        <v>131</v>
      </c>
      <c r="F128" s="4" t="s">
        <v>117</v>
      </c>
      <c r="G128">
        <v>40.799999999999997</v>
      </c>
      <c r="H128">
        <v>159</v>
      </c>
      <c r="I128">
        <v>105</v>
      </c>
      <c r="J128">
        <v>193</v>
      </c>
      <c r="K128">
        <v>182</v>
      </c>
      <c r="L128" s="4" t="s">
        <v>859</v>
      </c>
      <c r="M128">
        <v>1</v>
      </c>
      <c r="N128">
        <v>7</v>
      </c>
      <c r="O128" s="4" t="s">
        <v>35</v>
      </c>
      <c r="P128" s="5">
        <v>44875</v>
      </c>
      <c r="Q128">
        <v>7</v>
      </c>
      <c r="R128">
        <v>8</v>
      </c>
      <c r="S128" s="4" t="s">
        <v>78</v>
      </c>
      <c r="T128" s="4" t="s">
        <v>864</v>
      </c>
      <c r="U128" t="str">
        <f t="shared" si="9"/>
        <v>Obese</v>
      </c>
      <c r="V128" s="4" t="str">
        <f t="shared" si="10"/>
        <v>Aged</v>
      </c>
      <c r="W128" s="4" t="str">
        <f t="shared" si="11"/>
        <v>High Bp</v>
      </c>
      <c r="X128" s="4">
        <f t="shared" si="12"/>
        <v>1</v>
      </c>
      <c r="Y128" s="4">
        <f t="shared" si="13"/>
        <v>1</v>
      </c>
      <c r="Z128" s="4">
        <f t="shared" si="14"/>
        <v>1</v>
      </c>
      <c r="AA128" s="4">
        <f t="shared" si="15"/>
        <v>0</v>
      </c>
      <c r="AB128" s="4">
        <f t="shared" si="16"/>
        <v>0</v>
      </c>
      <c r="AC128" s="4">
        <f>SUM(Table1_2[[#This Row],[bp score]],Table1_2[[#This Row],[bmi score]],Table1_2[[#This Row],[Csmoking score]],Table1_2[[#This Row],[Condition score]],Table1_2[[#This Row],[Cholesterol score]],)</f>
        <v>3</v>
      </c>
      <c r="AD128" s="4" t="str">
        <f t="shared" si="17"/>
        <v>Medium risk</v>
      </c>
    </row>
    <row r="129" spans="1:30" x14ac:dyDescent="0.35">
      <c r="A129" s="4" t="s">
        <v>427</v>
      </c>
      <c r="B129" s="4" t="s">
        <v>428</v>
      </c>
      <c r="C129">
        <v>26</v>
      </c>
      <c r="D129" s="4" t="s">
        <v>73</v>
      </c>
      <c r="E129" s="4" t="s">
        <v>33</v>
      </c>
      <c r="F129" s="4" t="s">
        <v>90</v>
      </c>
      <c r="G129">
        <v>31.6</v>
      </c>
      <c r="H129">
        <v>168</v>
      </c>
      <c r="I129">
        <v>92</v>
      </c>
      <c r="J129">
        <v>247</v>
      </c>
      <c r="K129">
        <v>209</v>
      </c>
      <c r="L129" s="4" t="s">
        <v>859</v>
      </c>
      <c r="M129">
        <v>5</v>
      </c>
      <c r="N129">
        <v>9</v>
      </c>
      <c r="O129" s="4" t="s">
        <v>35</v>
      </c>
      <c r="P129" s="5">
        <v>44308</v>
      </c>
      <c r="Q129">
        <v>11</v>
      </c>
      <c r="R129">
        <v>5</v>
      </c>
      <c r="S129" s="4" t="s">
        <v>78</v>
      </c>
      <c r="T129" s="4" t="s">
        <v>862</v>
      </c>
      <c r="U129" t="str">
        <f t="shared" si="9"/>
        <v>Obese</v>
      </c>
      <c r="V129" s="4" t="str">
        <f t="shared" si="10"/>
        <v>Young adult</v>
      </c>
      <c r="W129" s="4" t="str">
        <f t="shared" si="11"/>
        <v>High Bp</v>
      </c>
      <c r="X129" s="4">
        <f t="shared" si="12"/>
        <v>1</v>
      </c>
      <c r="Y129" s="4">
        <f t="shared" si="13"/>
        <v>1</v>
      </c>
      <c r="Z129" s="4">
        <f t="shared" si="14"/>
        <v>1</v>
      </c>
      <c r="AA129" s="4">
        <f t="shared" si="15"/>
        <v>0</v>
      </c>
      <c r="AB129" s="4">
        <f t="shared" si="16"/>
        <v>1</v>
      </c>
      <c r="AC129" s="4">
        <f>SUM(Table1_2[[#This Row],[bp score]],Table1_2[[#This Row],[bmi score]],Table1_2[[#This Row],[Csmoking score]],Table1_2[[#This Row],[Condition score]],Table1_2[[#This Row],[Cholesterol score]],)</f>
        <v>4</v>
      </c>
      <c r="AD129" s="4" t="str">
        <f t="shared" si="17"/>
        <v>High risk</v>
      </c>
    </row>
    <row r="130" spans="1:30" x14ac:dyDescent="0.35">
      <c r="A130" s="4" t="s">
        <v>430</v>
      </c>
      <c r="B130" s="4" t="s">
        <v>431</v>
      </c>
      <c r="C130">
        <v>43</v>
      </c>
      <c r="D130" s="4" t="s">
        <v>32</v>
      </c>
      <c r="E130" s="4" t="s">
        <v>131</v>
      </c>
      <c r="F130" s="4" t="s">
        <v>117</v>
      </c>
      <c r="G130">
        <v>19.5</v>
      </c>
      <c r="H130">
        <v>128</v>
      </c>
      <c r="I130">
        <v>92</v>
      </c>
      <c r="J130">
        <v>272</v>
      </c>
      <c r="K130">
        <v>212</v>
      </c>
      <c r="L130" s="4" t="s">
        <v>100</v>
      </c>
      <c r="M130">
        <v>0</v>
      </c>
      <c r="N130">
        <v>4</v>
      </c>
      <c r="O130" s="4" t="s">
        <v>35</v>
      </c>
      <c r="P130" s="5">
        <v>45122</v>
      </c>
      <c r="Q130">
        <v>18</v>
      </c>
      <c r="R130">
        <v>16</v>
      </c>
      <c r="S130" s="4" t="s">
        <v>60</v>
      </c>
      <c r="T130" s="4" t="s">
        <v>864</v>
      </c>
      <c r="U130" t="str">
        <f t="shared" ref="U130:U193" si="18">IF(G130&lt;18.5,"Underweight",IF(G130&lt;=24.9,"Normal",IF(G130&lt;=29.9,"Overweight","Obese")))</f>
        <v>Normal</v>
      </c>
      <c r="V130" s="4" t="str">
        <f t="shared" ref="V130:V193" si="19">IF(C130&lt;=30,"Young adult",IF(C130&lt;=40,"Adult",IF(C130&lt;=50,"Elder","Aged")))</f>
        <v>Elder</v>
      </c>
      <c r="W130" s="4" t="str">
        <f t="shared" ref="W130:W193" si="20">IF(OR(H130&lt;90,I130&lt;60), "Low BP",IF(AND(H130&lt;120,I130&lt;80),"Normal",IF(AND(H130&gt;=120,H130&lt;130,I130&lt;80),"Elevated","High Bp")))</f>
        <v>High Bp</v>
      </c>
      <c r="X130" s="4">
        <f t="shared" ref="X130:X193" si="21">IF(W130="HIGH bp",1,0)</f>
        <v>1</v>
      </c>
      <c r="Y130" s="4">
        <f t="shared" ref="Y130:Y193" si="22">IF(U130="obese",1,0)</f>
        <v>0</v>
      </c>
      <c r="Z130" s="4">
        <f t="shared" ref="Z130:Z193" si="23">IF(L130="current smoker",1,0)</f>
        <v>0</v>
      </c>
      <c r="AA130" s="4">
        <f t="shared" ref="AA130:AA193" si="24">IF(S130="none",0,1)</f>
        <v>1</v>
      </c>
      <c r="AB130" s="4">
        <f t="shared" ref="AB130:AB193" si="25">IF(J130&gt;200,1,0)</f>
        <v>1</v>
      </c>
      <c r="AC130" s="4">
        <f>SUM(Table1_2[[#This Row],[bp score]],Table1_2[[#This Row],[bmi score]],Table1_2[[#This Row],[Csmoking score]],Table1_2[[#This Row],[Condition score]],Table1_2[[#This Row],[Cholesterol score]],)</f>
        <v>3</v>
      </c>
      <c r="AD130" s="4" t="str">
        <f t="shared" ref="AD130:AD193" si="26">IF(AC130&gt;=4,"High risk", IF(AC130&gt;=2, "Medium risk", "Low risk"))</f>
        <v>Medium risk</v>
      </c>
    </row>
    <row r="131" spans="1:30" x14ac:dyDescent="0.35">
      <c r="A131" s="4" t="s">
        <v>432</v>
      </c>
      <c r="B131" s="4" t="s">
        <v>433</v>
      </c>
      <c r="C131">
        <v>28</v>
      </c>
      <c r="D131" s="4" t="s">
        <v>32</v>
      </c>
      <c r="E131" s="4" t="s">
        <v>65</v>
      </c>
      <c r="F131" s="4" t="s">
        <v>82</v>
      </c>
      <c r="G131">
        <v>19.899999999999999</v>
      </c>
      <c r="H131">
        <v>118</v>
      </c>
      <c r="I131">
        <v>82</v>
      </c>
      <c r="J131">
        <v>219</v>
      </c>
      <c r="K131">
        <v>157</v>
      </c>
      <c r="L131" s="4" t="s">
        <v>859</v>
      </c>
      <c r="M131">
        <v>3</v>
      </c>
      <c r="N131">
        <v>9</v>
      </c>
      <c r="O131" s="4" t="s">
        <v>35</v>
      </c>
      <c r="P131" s="5">
        <v>45142</v>
      </c>
      <c r="Q131">
        <v>14</v>
      </c>
      <c r="R131">
        <v>14</v>
      </c>
      <c r="S131" s="4" t="s">
        <v>78</v>
      </c>
      <c r="T131" s="4" t="s">
        <v>863</v>
      </c>
      <c r="U131" t="str">
        <f t="shared" si="18"/>
        <v>Normal</v>
      </c>
      <c r="V131" s="4" t="str">
        <f t="shared" si="19"/>
        <v>Young adult</v>
      </c>
      <c r="W131" s="4" t="str">
        <f t="shared" si="20"/>
        <v>High Bp</v>
      </c>
      <c r="X131" s="4">
        <f t="shared" si="21"/>
        <v>1</v>
      </c>
      <c r="Y131" s="4">
        <f t="shared" si="22"/>
        <v>0</v>
      </c>
      <c r="Z131" s="4">
        <f t="shared" si="23"/>
        <v>1</v>
      </c>
      <c r="AA131" s="4">
        <f t="shared" si="24"/>
        <v>0</v>
      </c>
      <c r="AB131" s="4">
        <f t="shared" si="25"/>
        <v>1</v>
      </c>
      <c r="AC131" s="4">
        <f>SUM(Table1_2[[#This Row],[bp score]],Table1_2[[#This Row],[bmi score]],Table1_2[[#This Row],[Csmoking score]],Table1_2[[#This Row],[Condition score]],Table1_2[[#This Row],[Cholesterol score]],)</f>
        <v>3</v>
      </c>
      <c r="AD131" s="4" t="str">
        <f t="shared" si="26"/>
        <v>Medium risk</v>
      </c>
    </row>
    <row r="132" spans="1:30" x14ac:dyDescent="0.35">
      <c r="A132" s="4" t="s">
        <v>435</v>
      </c>
      <c r="B132" s="4" t="s">
        <v>436</v>
      </c>
      <c r="C132">
        <v>29</v>
      </c>
      <c r="D132" s="4" t="s">
        <v>32</v>
      </c>
      <c r="E132" s="4" t="s">
        <v>127</v>
      </c>
      <c r="F132" s="4" t="s">
        <v>82</v>
      </c>
      <c r="G132">
        <v>33.9</v>
      </c>
      <c r="H132">
        <v>121</v>
      </c>
      <c r="I132">
        <v>75</v>
      </c>
      <c r="J132">
        <v>272</v>
      </c>
      <c r="K132">
        <v>114</v>
      </c>
      <c r="L132" s="4" t="s">
        <v>860</v>
      </c>
      <c r="M132">
        <v>2</v>
      </c>
      <c r="N132">
        <v>6</v>
      </c>
      <c r="O132" s="4" t="s">
        <v>25</v>
      </c>
      <c r="P132" s="5">
        <v>45408</v>
      </c>
      <c r="Q132">
        <v>12</v>
      </c>
      <c r="R132">
        <v>20</v>
      </c>
      <c r="S132" s="4" t="s">
        <v>60</v>
      </c>
      <c r="T132" s="4" t="s">
        <v>864</v>
      </c>
      <c r="U132" t="str">
        <f t="shared" si="18"/>
        <v>Obese</v>
      </c>
      <c r="V132" s="4" t="str">
        <f t="shared" si="19"/>
        <v>Young adult</v>
      </c>
      <c r="W132" s="4" t="str">
        <f t="shared" si="20"/>
        <v>Elevated</v>
      </c>
      <c r="X132" s="4">
        <f t="shared" si="21"/>
        <v>0</v>
      </c>
      <c r="Y132" s="4">
        <f t="shared" si="22"/>
        <v>1</v>
      </c>
      <c r="Z132" s="4">
        <f t="shared" si="23"/>
        <v>0</v>
      </c>
      <c r="AA132" s="4">
        <f t="shared" si="24"/>
        <v>1</v>
      </c>
      <c r="AB132" s="4">
        <f t="shared" si="25"/>
        <v>1</v>
      </c>
      <c r="AC132" s="4">
        <f>SUM(Table1_2[[#This Row],[bp score]],Table1_2[[#This Row],[bmi score]],Table1_2[[#This Row],[Csmoking score]],Table1_2[[#This Row],[Condition score]],Table1_2[[#This Row],[Cholesterol score]],)</f>
        <v>3</v>
      </c>
      <c r="AD132" s="4" t="str">
        <f t="shared" si="26"/>
        <v>Medium risk</v>
      </c>
    </row>
    <row r="133" spans="1:30" x14ac:dyDescent="0.35">
      <c r="A133" s="4" t="s">
        <v>438</v>
      </c>
      <c r="B133" s="4" t="s">
        <v>428</v>
      </c>
      <c r="C133">
        <v>23</v>
      </c>
      <c r="D133" s="4" t="s">
        <v>73</v>
      </c>
      <c r="E133" s="4" t="s">
        <v>161</v>
      </c>
      <c r="F133" s="4" t="s">
        <v>66</v>
      </c>
      <c r="G133">
        <v>27.7</v>
      </c>
      <c r="H133">
        <v>100</v>
      </c>
      <c r="I133">
        <v>105</v>
      </c>
      <c r="J133">
        <v>194</v>
      </c>
      <c r="K133">
        <v>122</v>
      </c>
      <c r="L133" s="4" t="s">
        <v>859</v>
      </c>
      <c r="M133">
        <v>1</v>
      </c>
      <c r="N133">
        <v>10</v>
      </c>
      <c r="O133" s="4" t="s">
        <v>35</v>
      </c>
      <c r="P133" s="5">
        <v>44723</v>
      </c>
      <c r="Q133">
        <v>6</v>
      </c>
      <c r="R133">
        <v>14</v>
      </c>
      <c r="S133" s="4" t="s">
        <v>92</v>
      </c>
      <c r="T133" s="4" t="s">
        <v>863</v>
      </c>
      <c r="U133" t="str">
        <f t="shared" si="18"/>
        <v>Overweight</v>
      </c>
      <c r="V133" s="4" t="str">
        <f t="shared" si="19"/>
        <v>Young adult</v>
      </c>
      <c r="W133" s="4" t="str">
        <f t="shared" si="20"/>
        <v>High Bp</v>
      </c>
      <c r="X133" s="4">
        <f t="shared" si="21"/>
        <v>1</v>
      </c>
      <c r="Y133" s="4">
        <f t="shared" si="22"/>
        <v>0</v>
      </c>
      <c r="Z133" s="4">
        <f t="shared" si="23"/>
        <v>1</v>
      </c>
      <c r="AA133" s="4">
        <f t="shared" si="24"/>
        <v>1</v>
      </c>
      <c r="AB133" s="4">
        <f t="shared" si="25"/>
        <v>0</v>
      </c>
      <c r="AC133" s="4">
        <f>SUM(Table1_2[[#This Row],[bp score]],Table1_2[[#This Row],[bmi score]],Table1_2[[#This Row],[Csmoking score]],Table1_2[[#This Row],[Condition score]],Table1_2[[#This Row],[Cholesterol score]],)</f>
        <v>3</v>
      </c>
      <c r="AD133" s="4" t="str">
        <f t="shared" si="26"/>
        <v>Medium risk</v>
      </c>
    </row>
    <row r="134" spans="1:30" x14ac:dyDescent="0.35">
      <c r="A134" s="4" t="s">
        <v>440</v>
      </c>
      <c r="B134" s="4" t="s">
        <v>350</v>
      </c>
      <c r="C134">
        <v>62</v>
      </c>
      <c r="D134" s="4" t="s">
        <v>73</v>
      </c>
      <c r="E134" s="4" t="s">
        <v>33</v>
      </c>
      <c r="F134" s="4" t="s">
        <v>82</v>
      </c>
      <c r="G134">
        <v>32.299999999999997</v>
      </c>
      <c r="H134">
        <v>114</v>
      </c>
      <c r="I134">
        <v>82</v>
      </c>
      <c r="J134">
        <v>230</v>
      </c>
      <c r="K134">
        <v>187</v>
      </c>
      <c r="L134" s="4" t="s">
        <v>100</v>
      </c>
      <c r="M134">
        <v>2</v>
      </c>
      <c r="N134">
        <v>5</v>
      </c>
      <c r="O134" s="4" t="s">
        <v>35</v>
      </c>
      <c r="P134" s="5">
        <v>44716</v>
      </c>
      <c r="Q134">
        <v>7</v>
      </c>
      <c r="R134">
        <v>9</v>
      </c>
      <c r="S134" s="4" t="s">
        <v>92</v>
      </c>
      <c r="T134" s="4" t="s">
        <v>864</v>
      </c>
      <c r="U134" t="str">
        <f t="shared" si="18"/>
        <v>Obese</v>
      </c>
      <c r="V134" s="4" t="str">
        <f t="shared" si="19"/>
        <v>Aged</v>
      </c>
      <c r="W134" s="4" t="str">
        <f t="shared" si="20"/>
        <v>High Bp</v>
      </c>
      <c r="X134" s="4">
        <f t="shared" si="21"/>
        <v>1</v>
      </c>
      <c r="Y134" s="4">
        <f t="shared" si="22"/>
        <v>1</v>
      </c>
      <c r="Z134" s="4">
        <f t="shared" si="23"/>
        <v>0</v>
      </c>
      <c r="AA134" s="4">
        <f t="shared" si="24"/>
        <v>1</v>
      </c>
      <c r="AB134" s="4">
        <f t="shared" si="25"/>
        <v>1</v>
      </c>
      <c r="AC134" s="4">
        <f>SUM(Table1_2[[#This Row],[bp score]],Table1_2[[#This Row],[bmi score]],Table1_2[[#This Row],[Csmoking score]],Table1_2[[#This Row],[Condition score]],Table1_2[[#This Row],[Cholesterol score]],)</f>
        <v>4</v>
      </c>
      <c r="AD134" s="4" t="str">
        <f t="shared" si="26"/>
        <v>High risk</v>
      </c>
    </row>
    <row r="135" spans="1:30" x14ac:dyDescent="0.35">
      <c r="A135" s="4" t="s">
        <v>442</v>
      </c>
      <c r="B135" s="4" t="s">
        <v>443</v>
      </c>
      <c r="C135">
        <v>54</v>
      </c>
      <c r="D135" s="4" t="s">
        <v>32</v>
      </c>
      <c r="E135" s="4" t="s">
        <v>65</v>
      </c>
      <c r="F135" s="4" t="s">
        <v>66</v>
      </c>
      <c r="G135">
        <v>20.399999999999999</v>
      </c>
      <c r="H135">
        <v>149</v>
      </c>
      <c r="I135">
        <v>87</v>
      </c>
      <c r="J135">
        <v>187</v>
      </c>
      <c r="K135">
        <v>194</v>
      </c>
      <c r="L135" s="4" t="s">
        <v>860</v>
      </c>
      <c r="M135">
        <v>7</v>
      </c>
      <c r="N135">
        <v>3</v>
      </c>
      <c r="O135" s="4" t="s">
        <v>25</v>
      </c>
      <c r="P135" s="5">
        <v>45417</v>
      </c>
      <c r="Q135">
        <v>5</v>
      </c>
      <c r="R135">
        <v>10</v>
      </c>
      <c r="S135" s="4" t="s">
        <v>92</v>
      </c>
      <c r="T135" s="4" t="s">
        <v>862</v>
      </c>
      <c r="U135" t="str">
        <f t="shared" si="18"/>
        <v>Normal</v>
      </c>
      <c r="V135" s="4" t="str">
        <f t="shared" si="19"/>
        <v>Aged</v>
      </c>
      <c r="W135" s="4" t="str">
        <f t="shared" si="20"/>
        <v>High Bp</v>
      </c>
      <c r="X135" s="4">
        <f t="shared" si="21"/>
        <v>1</v>
      </c>
      <c r="Y135" s="4">
        <f t="shared" si="22"/>
        <v>0</v>
      </c>
      <c r="Z135" s="4">
        <f t="shared" si="23"/>
        <v>0</v>
      </c>
      <c r="AA135" s="4">
        <f t="shared" si="24"/>
        <v>1</v>
      </c>
      <c r="AB135" s="4">
        <f t="shared" si="25"/>
        <v>0</v>
      </c>
      <c r="AC135" s="4">
        <f>SUM(Table1_2[[#This Row],[bp score]],Table1_2[[#This Row],[bmi score]],Table1_2[[#This Row],[Csmoking score]],Table1_2[[#This Row],[Condition score]],Table1_2[[#This Row],[Cholesterol score]],)</f>
        <v>2</v>
      </c>
      <c r="AD135" s="4" t="str">
        <f t="shared" si="26"/>
        <v>Medium risk</v>
      </c>
    </row>
    <row r="136" spans="1:30" x14ac:dyDescent="0.35">
      <c r="A136" s="4" t="s">
        <v>445</v>
      </c>
      <c r="B136" s="4" t="s">
        <v>446</v>
      </c>
      <c r="C136">
        <v>53</v>
      </c>
      <c r="D136" s="4" t="s">
        <v>32</v>
      </c>
      <c r="E136" s="4" t="s">
        <v>23</v>
      </c>
      <c r="F136" s="4" t="s">
        <v>82</v>
      </c>
      <c r="G136">
        <v>41.1</v>
      </c>
      <c r="H136">
        <v>164</v>
      </c>
      <c r="I136">
        <v>101</v>
      </c>
      <c r="J136">
        <v>266</v>
      </c>
      <c r="K136">
        <v>174</v>
      </c>
      <c r="L136" s="4" t="s">
        <v>859</v>
      </c>
      <c r="M136">
        <v>6</v>
      </c>
      <c r="N136">
        <v>0</v>
      </c>
      <c r="O136" s="4" t="s">
        <v>35</v>
      </c>
      <c r="P136" s="5">
        <v>44611</v>
      </c>
      <c r="Q136">
        <v>0</v>
      </c>
      <c r="R136">
        <v>7</v>
      </c>
      <c r="S136" s="4" t="s">
        <v>78</v>
      </c>
      <c r="T136" s="4" t="s">
        <v>862</v>
      </c>
      <c r="U136" t="str">
        <f t="shared" si="18"/>
        <v>Obese</v>
      </c>
      <c r="V136" s="4" t="str">
        <f t="shared" si="19"/>
        <v>Aged</v>
      </c>
      <c r="W136" s="4" t="str">
        <f t="shared" si="20"/>
        <v>High Bp</v>
      </c>
      <c r="X136" s="4">
        <f t="shared" si="21"/>
        <v>1</v>
      </c>
      <c r="Y136" s="4">
        <f t="shared" si="22"/>
        <v>1</v>
      </c>
      <c r="Z136" s="4">
        <f t="shared" si="23"/>
        <v>1</v>
      </c>
      <c r="AA136" s="4">
        <f t="shared" si="24"/>
        <v>0</v>
      </c>
      <c r="AB136" s="4">
        <f t="shared" si="25"/>
        <v>1</v>
      </c>
      <c r="AC136" s="4">
        <f>SUM(Table1_2[[#This Row],[bp score]],Table1_2[[#This Row],[bmi score]],Table1_2[[#This Row],[Csmoking score]],Table1_2[[#This Row],[Condition score]],Table1_2[[#This Row],[Cholesterol score]],)</f>
        <v>4</v>
      </c>
      <c r="AD136" s="4" t="str">
        <f t="shared" si="26"/>
        <v>High risk</v>
      </c>
    </row>
    <row r="137" spans="1:30" x14ac:dyDescent="0.35">
      <c r="A137" s="4" t="s">
        <v>448</v>
      </c>
      <c r="B137" s="4" t="s">
        <v>449</v>
      </c>
      <c r="C137">
        <v>56</v>
      </c>
      <c r="D137" s="4" t="s">
        <v>32</v>
      </c>
      <c r="E137" s="4" t="s">
        <v>33</v>
      </c>
      <c r="F137" s="4" t="s">
        <v>90</v>
      </c>
      <c r="G137">
        <v>31.1</v>
      </c>
      <c r="H137">
        <v>163</v>
      </c>
      <c r="I137">
        <v>95</v>
      </c>
      <c r="J137">
        <v>270</v>
      </c>
      <c r="K137">
        <v>98</v>
      </c>
      <c r="L137" s="4" t="s">
        <v>100</v>
      </c>
      <c r="M137">
        <v>1</v>
      </c>
      <c r="N137">
        <v>5</v>
      </c>
      <c r="O137" s="4" t="s">
        <v>35</v>
      </c>
      <c r="P137" s="5">
        <v>44545</v>
      </c>
      <c r="Q137">
        <v>17</v>
      </c>
      <c r="R137">
        <v>6</v>
      </c>
      <c r="S137" s="4" t="s">
        <v>99</v>
      </c>
      <c r="T137" s="4" t="s">
        <v>863</v>
      </c>
      <c r="U137" t="str">
        <f t="shared" si="18"/>
        <v>Obese</v>
      </c>
      <c r="V137" s="4" t="str">
        <f t="shared" si="19"/>
        <v>Aged</v>
      </c>
      <c r="W137" s="4" t="str">
        <f t="shared" si="20"/>
        <v>High Bp</v>
      </c>
      <c r="X137" s="4">
        <f t="shared" si="21"/>
        <v>1</v>
      </c>
      <c r="Y137" s="4">
        <f t="shared" si="22"/>
        <v>1</v>
      </c>
      <c r="Z137" s="4">
        <f t="shared" si="23"/>
        <v>0</v>
      </c>
      <c r="AA137" s="4">
        <f t="shared" si="24"/>
        <v>1</v>
      </c>
      <c r="AB137" s="4">
        <f t="shared" si="25"/>
        <v>1</v>
      </c>
      <c r="AC137" s="4">
        <f>SUM(Table1_2[[#This Row],[bp score]],Table1_2[[#This Row],[bmi score]],Table1_2[[#This Row],[Csmoking score]],Table1_2[[#This Row],[Condition score]],Table1_2[[#This Row],[Cholesterol score]],)</f>
        <v>4</v>
      </c>
      <c r="AD137" s="4" t="str">
        <f t="shared" si="26"/>
        <v>High risk</v>
      </c>
    </row>
    <row r="138" spans="1:30" x14ac:dyDescent="0.35">
      <c r="A138" s="4" t="s">
        <v>451</v>
      </c>
      <c r="B138" s="4" t="s">
        <v>137</v>
      </c>
      <c r="C138">
        <v>24</v>
      </c>
      <c r="D138" s="4" t="s">
        <v>73</v>
      </c>
      <c r="E138" s="4" t="s">
        <v>74</v>
      </c>
      <c r="F138" s="4" t="s">
        <v>117</v>
      </c>
      <c r="G138">
        <v>38.6</v>
      </c>
      <c r="H138">
        <v>111</v>
      </c>
      <c r="I138">
        <v>88</v>
      </c>
      <c r="J138">
        <v>170</v>
      </c>
      <c r="K138">
        <v>130</v>
      </c>
      <c r="L138" s="4" t="s">
        <v>861</v>
      </c>
      <c r="M138">
        <v>0</v>
      </c>
      <c r="N138">
        <v>6</v>
      </c>
      <c r="O138" s="4" t="s">
        <v>25</v>
      </c>
      <c r="P138" s="5">
        <v>44839</v>
      </c>
      <c r="Q138">
        <v>6</v>
      </c>
      <c r="R138">
        <v>6</v>
      </c>
      <c r="S138" s="4" t="s">
        <v>99</v>
      </c>
      <c r="T138" s="4" t="s">
        <v>864</v>
      </c>
      <c r="U138" t="str">
        <f t="shared" si="18"/>
        <v>Obese</v>
      </c>
      <c r="V138" s="4" t="str">
        <f t="shared" si="19"/>
        <v>Young adult</v>
      </c>
      <c r="W138" s="4" t="str">
        <f t="shared" si="20"/>
        <v>High Bp</v>
      </c>
      <c r="X138" s="4">
        <f t="shared" si="21"/>
        <v>1</v>
      </c>
      <c r="Y138" s="4">
        <f t="shared" si="22"/>
        <v>1</v>
      </c>
      <c r="Z138" s="4">
        <f t="shared" si="23"/>
        <v>0</v>
      </c>
      <c r="AA138" s="4">
        <f t="shared" si="24"/>
        <v>1</v>
      </c>
      <c r="AB138" s="4">
        <f t="shared" si="25"/>
        <v>0</v>
      </c>
      <c r="AC138" s="4">
        <f>SUM(Table1_2[[#This Row],[bp score]],Table1_2[[#This Row],[bmi score]],Table1_2[[#This Row],[Csmoking score]],Table1_2[[#This Row],[Condition score]],Table1_2[[#This Row],[Cholesterol score]],)</f>
        <v>3</v>
      </c>
      <c r="AD138" s="4" t="str">
        <f t="shared" si="26"/>
        <v>Medium risk</v>
      </c>
    </row>
    <row r="139" spans="1:30" x14ac:dyDescent="0.35">
      <c r="A139" s="4" t="s">
        <v>453</v>
      </c>
      <c r="B139" s="4" t="s">
        <v>454</v>
      </c>
      <c r="C139">
        <v>60</v>
      </c>
      <c r="D139" s="4" t="s">
        <v>32</v>
      </c>
      <c r="E139" s="4" t="s">
        <v>127</v>
      </c>
      <c r="F139" s="4" t="s">
        <v>57</v>
      </c>
      <c r="G139">
        <v>24.2</v>
      </c>
      <c r="H139">
        <v>134</v>
      </c>
      <c r="I139">
        <v>92</v>
      </c>
      <c r="J139">
        <v>164</v>
      </c>
      <c r="K139">
        <v>104</v>
      </c>
      <c r="L139" s="4" t="s">
        <v>860</v>
      </c>
      <c r="M139">
        <v>0</v>
      </c>
      <c r="N139">
        <v>5</v>
      </c>
      <c r="O139" s="4" t="s">
        <v>25</v>
      </c>
      <c r="P139" s="5">
        <v>44656</v>
      </c>
      <c r="Q139">
        <v>10</v>
      </c>
      <c r="R139">
        <v>7</v>
      </c>
      <c r="S139" s="4" t="s">
        <v>78</v>
      </c>
      <c r="T139" s="4" t="s">
        <v>100</v>
      </c>
      <c r="U139" t="str">
        <f t="shared" si="18"/>
        <v>Normal</v>
      </c>
      <c r="V139" s="4" t="str">
        <f t="shared" si="19"/>
        <v>Aged</v>
      </c>
      <c r="W139" s="4" t="str">
        <f t="shared" si="20"/>
        <v>High Bp</v>
      </c>
      <c r="X139" s="4">
        <f t="shared" si="21"/>
        <v>1</v>
      </c>
      <c r="Y139" s="4">
        <f t="shared" si="22"/>
        <v>0</v>
      </c>
      <c r="Z139" s="4">
        <f t="shared" si="23"/>
        <v>0</v>
      </c>
      <c r="AA139" s="4">
        <f t="shared" si="24"/>
        <v>0</v>
      </c>
      <c r="AB139" s="4">
        <f t="shared" si="25"/>
        <v>0</v>
      </c>
      <c r="AC139" s="4">
        <f>SUM(Table1_2[[#This Row],[bp score]],Table1_2[[#This Row],[bmi score]],Table1_2[[#This Row],[Csmoking score]],Table1_2[[#This Row],[Condition score]],Table1_2[[#This Row],[Cholesterol score]],)</f>
        <v>1</v>
      </c>
      <c r="AD139" s="4" t="str">
        <f t="shared" si="26"/>
        <v>Low risk</v>
      </c>
    </row>
    <row r="140" spans="1:30" x14ac:dyDescent="0.35">
      <c r="A140" s="4" t="s">
        <v>456</v>
      </c>
      <c r="B140" s="4" t="s">
        <v>457</v>
      </c>
      <c r="C140">
        <v>58</v>
      </c>
      <c r="D140" s="4" t="s">
        <v>32</v>
      </c>
      <c r="E140" s="4" t="s">
        <v>65</v>
      </c>
      <c r="F140" s="4" t="s">
        <v>82</v>
      </c>
      <c r="G140">
        <v>28.3</v>
      </c>
      <c r="H140">
        <v>111</v>
      </c>
      <c r="I140">
        <v>85</v>
      </c>
      <c r="J140">
        <v>271</v>
      </c>
      <c r="K140">
        <v>141</v>
      </c>
      <c r="L140" s="4" t="s">
        <v>860</v>
      </c>
      <c r="M140">
        <v>7</v>
      </c>
      <c r="N140">
        <v>8</v>
      </c>
      <c r="O140" s="4" t="s">
        <v>35</v>
      </c>
      <c r="P140" s="5">
        <v>44533</v>
      </c>
      <c r="Q140">
        <v>14</v>
      </c>
      <c r="R140">
        <v>20</v>
      </c>
      <c r="S140" s="4" t="s">
        <v>78</v>
      </c>
      <c r="T140" s="4" t="s">
        <v>864</v>
      </c>
      <c r="U140" t="str">
        <f t="shared" si="18"/>
        <v>Overweight</v>
      </c>
      <c r="V140" s="4" t="str">
        <f t="shared" si="19"/>
        <v>Aged</v>
      </c>
      <c r="W140" s="4" t="str">
        <f t="shared" si="20"/>
        <v>High Bp</v>
      </c>
      <c r="X140" s="4">
        <f t="shared" si="21"/>
        <v>1</v>
      </c>
      <c r="Y140" s="4">
        <f t="shared" si="22"/>
        <v>0</v>
      </c>
      <c r="Z140" s="4">
        <f t="shared" si="23"/>
        <v>0</v>
      </c>
      <c r="AA140" s="4">
        <f t="shared" si="24"/>
        <v>0</v>
      </c>
      <c r="AB140" s="4">
        <f t="shared" si="25"/>
        <v>1</v>
      </c>
      <c r="AC140" s="4">
        <f>SUM(Table1_2[[#This Row],[bp score]],Table1_2[[#This Row],[bmi score]],Table1_2[[#This Row],[Csmoking score]],Table1_2[[#This Row],[Condition score]],Table1_2[[#This Row],[Cholesterol score]],)</f>
        <v>2</v>
      </c>
      <c r="AD140" s="4" t="str">
        <f t="shared" si="26"/>
        <v>Medium risk</v>
      </c>
    </row>
    <row r="141" spans="1:30" x14ac:dyDescent="0.35">
      <c r="A141" s="4" t="s">
        <v>459</v>
      </c>
      <c r="B141" s="4" t="s">
        <v>110</v>
      </c>
      <c r="C141">
        <v>47</v>
      </c>
      <c r="D141" s="4" t="s">
        <v>73</v>
      </c>
      <c r="E141" s="4" t="s">
        <v>65</v>
      </c>
      <c r="F141" s="4" t="s">
        <v>52</v>
      </c>
      <c r="G141">
        <v>29.4</v>
      </c>
      <c r="H141">
        <v>141</v>
      </c>
      <c r="I141">
        <v>78</v>
      </c>
      <c r="J141">
        <v>226</v>
      </c>
      <c r="K141">
        <v>210</v>
      </c>
      <c r="L141" s="4" t="s">
        <v>100</v>
      </c>
      <c r="M141">
        <v>2</v>
      </c>
      <c r="N141">
        <v>10</v>
      </c>
      <c r="O141" s="4" t="s">
        <v>35</v>
      </c>
      <c r="P141" s="5">
        <v>45255</v>
      </c>
      <c r="Q141">
        <v>1</v>
      </c>
      <c r="R141">
        <v>1</v>
      </c>
      <c r="S141" s="4" t="s">
        <v>92</v>
      </c>
      <c r="T141" s="4" t="s">
        <v>100</v>
      </c>
      <c r="U141" t="str">
        <f t="shared" si="18"/>
        <v>Overweight</v>
      </c>
      <c r="V141" s="4" t="str">
        <f t="shared" si="19"/>
        <v>Elder</v>
      </c>
      <c r="W141" s="4" t="str">
        <f t="shared" si="20"/>
        <v>High Bp</v>
      </c>
      <c r="X141" s="4">
        <f t="shared" si="21"/>
        <v>1</v>
      </c>
      <c r="Y141" s="4">
        <f t="shared" si="22"/>
        <v>0</v>
      </c>
      <c r="Z141" s="4">
        <f t="shared" si="23"/>
        <v>0</v>
      </c>
      <c r="AA141" s="4">
        <f t="shared" si="24"/>
        <v>1</v>
      </c>
      <c r="AB141" s="4">
        <f t="shared" si="25"/>
        <v>1</v>
      </c>
      <c r="AC141" s="4">
        <f>SUM(Table1_2[[#This Row],[bp score]],Table1_2[[#This Row],[bmi score]],Table1_2[[#This Row],[Csmoking score]],Table1_2[[#This Row],[Condition score]],Table1_2[[#This Row],[Cholesterol score]],)</f>
        <v>3</v>
      </c>
      <c r="AD141" s="4" t="str">
        <f t="shared" si="26"/>
        <v>Medium risk</v>
      </c>
    </row>
    <row r="142" spans="1:30" x14ac:dyDescent="0.35">
      <c r="A142" s="4" t="s">
        <v>461</v>
      </c>
      <c r="B142" s="4" t="s">
        <v>462</v>
      </c>
      <c r="C142">
        <v>32</v>
      </c>
      <c r="D142" s="4" t="s">
        <v>73</v>
      </c>
      <c r="E142" s="4" t="s">
        <v>161</v>
      </c>
      <c r="F142" s="4" t="s">
        <v>117</v>
      </c>
      <c r="G142">
        <v>41.8</v>
      </c>
      <c r="H142">
        <v>154</v>
      </c>
      <c r="I142">
        <v>72</v>
      </c>
      <c r="J142">
        <v>173</v>
      </c>
      <c r="K142">
        <v>236</v>
      </c>
      <c r="L142" s="4" t="s">
        <v>859</v>
      </c>
      <c r="M142">
        <v>2</v>
      </c>
      <c r="N142">
        <v>5</v>
      </c>
      <c r="O142" s="4" t="s">
        <v>35</v>
      </c>
      <c r="P142" s="5">
        <v>45049</v>
      </c>
      <c r="Q142">
        <v>11</v>
      </c>
      <c r="R142">
        <v>20</v>
      </c>
      <c r="S142" s="4" t="s">
        <v>60</v>
      </c>
      <c r="T142" s="4" t="s">
        <v>862</v>
      </c>
      <c r="U142" t="str">
        <f t="shared" si="18"/>
        <v>Obese</v>
      </c>
      <c r="V142" s="4" t="str">
        <f t="shared" si="19"/>
        <v>Adult</v>
      </c>
      <c r="W142" s="4" t="str">
        <f t="shared" si="20"/>
        <v>High Bp</v>
      </c>
      <c r="X142" s="4">
        <f t="shared" si="21"/>
        <v>1</v>
      </c>
      <c r="Y142" s="4">
        <f t="shared" si="22"/>
        <v>1</v>
      </c>
      <c r="Z142" s="4">
        <f t="shared" si="23"/>
        <v>1</v>
      </c>
      <c r="AA142" s="4">
        <f t="shared" si="24"/>
        <v>1</v>
      </c>
      <c r="AB142" s="4">
        <f t="shared" si="25"/>
        <v>0</v>
      </c>
      <c r="AC142" s="4">
        <f>SUM(Table1_2[[#This Row],[bp score]],Table1_2[[#This Row],[bmi score]],Table1_2[[#This Row],[Csmoking score]],Table1_2[[#This Row],[Condition score]],Table1_2[[#This Row],[Cholesterol score]],)</f>
        <v>4</v>
      </c>
      <c r="AD142" s="4" t="str">
        <f t="shared" si="26"/>
        <v>High risk</v>
      </c>
    </row>
    <row r="143" spans="1:30" x14ac:dyDescent="0.35">
      <c r="A143" s="4" t="s">
        <v>464</v>
      </c>
      <c r="B143" s="4" t="s">
        <v>465</v>
      </c>
      <c r="C143">
        <v>36</v>
      </c>
      <c r="D143" s="4" t="s">
        <v>32</v>
      </c>
      <c r="E143" s="4" t="s">
        <v>131</v>
      </c>
      <c r="F143" s="4" t="s">
        <v>82</v>
      </c>
      <c r="G143">
        <v>17</v>
      </c>
      <c r="H143">
        <v>161</v>
      </c>
      <c r="I143">
        <v>64</v>
      </c>
      <c r="J143">
        <v>173</v>
      </c>
      <c r="K143">
        <v>221</v>
      </c>
      <c r="L143" s="4" t="s">
        <v>861</v>
      </c>
      <c r="M143">
        <v>0</v>
      </c>
      <c r="N143">
        <v>8</v>
      </c>
      <c r="O143" s="4" t="s">
        <v>25</v>
      </c>
      <c r="P143" s="5">
        <v>44541</v>
      </c>
      <c r="Q143">
        <v>3</v>
      </c>
      <c r="R143">
        <v>13</v>
      </c>
      <c r="S143" s="4" t="s">
        <v>60</v>
      </c>
      <c r="T143" s="4" t="s">
        <v>100</v>
      </c>
      <c r="U143" t="str">
        <f t="shared" si="18"/>
        <v>Underweight</v>
      </c>
      <c r="V143" s="4" t="str">
        <f t="shared" si="19"/>
        <v>Adult</v>
      </c>
      <c r="W143" s="4" t="str">
        <f t="shared" si="20"/>
        <v>High Bp</v>
      </c>
      <c r="X143" s="4">
        <f t="shared" si="21"/>
        <v>1</v>
      </c>
      <c r="Y143" s="4">
        <f t="shared" si="22"/>
        <v>0</v>
      </c>
      <c r="Z143" s="4">
        <f t="shared" si="23"/>
        <v>0</v>
      </c>
      <c r="AA143" s="4">
        <f t="shared" si="24"/>
        <v>1</v>
      </c>
      <c r="AB143" s="4">
        <f t="shared" si="25"/>
        <v>0</v>
      </c>
      <c r="AC143" s="4">
        <f>SUM(Table1_2[[#This Row],[bp score]],Table1_2[[#This Row],[bmi score]],Table1_2[[#This Row],[Csmoking score]],Table1_2[[#This Row],[Condition score]],Table1_2[[#This Row],[Cholesterol score]],)</f>
        <v>2</v>
      </c>
      <c r="AD143" s="4" t="str">
        <f t="shared" si="26"/>
        <v>Medium risk</v>
      </c>
    </row>
    <row r="144" spans="1:30" x14ac:dyDescent="0.35">
      <c r="A144" s="4" t="s">
        <v>467</v>
      </c>
      <c r="B144" s="4" t="s">
        <v>468</v>
      </c>
      <c r="C144">
        <v>46</v>
      </c>
      <c r="D144" s="4" t="s">
        <v>73</v>
      </c>
      <c r="E144" s="4" t="s">
        <v>131</v>
      </c>
      <c r="F144" s="4" t="s">
        <v>82</v>
      </c>
      <c r="G144">
        <v>24.8</v>
      </c>
      <c r="H144">
        <v>138</v>
      </c>
      <c r="I144">
        <v>68</v>
      </c>
      <c r="J144">
        <v>237</v>
      </c>
      <c r="K144">
        <v>104</v>
      </c>
      <c r="L144" s="4" t="s">
        <v>860</v>
      </c>
      <c r="M144">
        <v>1</v>
      </c>
      <c r="N144">
        <v>9</v>
      </c>
      <c r="O144" s="4" t="s">
        <v>25</v>
      </c>
      <c r="P144" s="5">
        <v>44785</v>
      </c>
      <c r="Q144">
        <v>6</v>
      </c>
      <c r="R144">
        <v>20</v>
      </c>
      <c r="S144" s="4" t="s">
        <v>60</v>
      </c>
      <c r="T144" s="4" t="s">
        <v>100</v>
      </c>
      <c r="U144" t="str">
        <f t="shared" si="18"/>
        <v>Normal</v>
      </c>
      <c r="V144" s="4" t="str">
        <f t="shared" si="19"/>
        <v>Elder</v>
      </c>
      <c r="W144" s="4" t="str">
        <f t="shared" si="20"/>
        <v>High Bp</v>
      </c>
      <c r="X144" s="4">
        <f t="shared" si="21"/>
        <v>1</v>
      </c>
      <c r="Y144" s="4">
        <f t="shared" si="22"/>
        <v>0</v>
      </c>
      <c r="Z144" s="4">
        <f t="shared" si="23"/>
        <v>0</v>
      </c>
      <c r="AA144" s="4">
        <f t="shared" si="24"/>
        <v>1</v>
      </c>
      <c r="AB144" s="4">
        <f t="shared" si="25"/>
        <v>1</v>
      </c>
      <c r="AC144" s="4">
        <f>SUM(Table1_2[[#This Row],[bp score]],Table1_2[[#This Row],[bmi score]],Table1_2[[#This Row],[Csmoking score]],Table1_2[[#This Row],[Condition score]],Table1_2[[#This Row],[Cholesterol score]],)</f>
        <v>3</v>
      </c>
      <c r="AD144" s="4" t="str">
        <f t="shared" si="26"/>
        <v>Medium risk</v>
      </c>
    </row>
    <row r="145" spans="1:30" x14ac:dyDescent="0.35">
      <c r="A145" s="4" t="s">
        <v>470</v>
      </c>
      <c r="B145" s="4" t="s">
        <v>471</v>
      </c>
      <c r="C145">
        <v>35</v>
      </c>
      <c r="D145" s="4" t="s">
        <v>73</v>
      </c>
      <c r="E145" s="4" t="s">
        <v>131</v>
      </c>
      <c r="F145" s="4" t="s">
        <v>24</v>
      </c>
      <c r="G145">
        <v>35.799999999999997</v>
      </c>
      <c r="H145">
        <v>149</v>
      </c>
      <c r="I145">
        <v>82</v>
      </c>
      <c r="J145">
        <v>249</v>
      </c>
      <c r="K145">
        <v>150</v>
      </c>
      <c r="L145" s="4" t="s">
        <v>860</v>
      </c>
      <c r="M145">
        <v>3</v>
      </c>
      <c r="N145">
        <v>5</v>
      </c>
      <c r="O145" s="4" t="s">
        <v>35</v>
      </c>
      <c r="P145" s="5">
        <v>44824</v>
      </c>
      <c r="Q145">
        <v>19</v>
      </c>
      <c r="R145">
        <v>19</v>
      </c>
      <c r="S145" s="4" t="s">
        <v>78</v>
      </c>
      <c r="T145" s="4" t="s">
        <v>862</v>
      </c>
      <c r="U145" t="str">
        <f t="shared" si="18"/>
        <v>Obese</v>
      </c>
      <c r="V145" s="4" t="str">
        <f t="shared" si="19"/>
        <v>Adult</v>
      </c>
      <c r="W145" s="4" t="str">
        <f t="shared" si="20"/>
        <v>High Bp</v>
      </c>
      <c r="X145" s="4">
        <f t="shared" si="21"/>
        <v>1</v>
      </c>
      <c r="Y145" s="4">
        <f t="shared" si="22"/>
        <v>1</v>
      </c>
      <c r="Z145" s="4">
        <f t="shared" si="23"/>
        <v>0</v>
      </c>
      <c r="AA145" s="4">
        <f t="shared" si="24"/>
        <v>0</v>
      </c>
      <c r="AB145" s="4">
        <f t="shared" si="25"/>
        <v>1</v>
      </c>
      <c r="AC145" s="4">
        <f>SUM(Table1_2[[#This Row],[bp score]],Table1_2[[#This Row],[bmi score]],Table1_2[[#This Row],[Csmoking score]],Table1_2[[#This Row],[Condition score]],Table1_2[[#This Row],[Cholesterol score]],)</f>
        <v>3</v>
      </c>
      <c r="AD145" s="4" t="str">
        <f t="shared" si="26"/>
        <v>Medium risk</v>
      </c>
    </row>
    <row r="146" spans="1:30" x14ac:dyDescent="0.35">
      <c r="A146" s="4" t="s">
        <v>473</v>
      </c>
      <c r="B146" s="4" t="s">
        <v>217</v>
      </c>
      <c r="C146">
        <v>55</v>
      </c>
      <c r="D146" s="4" t="s">
        <v>73</v>
      </c>
      <c r="E146" s="4" t="s">
        <v>65</v>
      </c>
      <c r="F146" s="4" t="s">
        <v>57</v>
      </c>
      <c r="G146">
        <v>33.200000000000003</v>
      </c>
      <c r="H146">
        <v>130</v>
      </c>
      <c r="I146">
        <v>91</v>
      </c>
      <c r="J146">
        <v>238</v>
      </c>
      <c r="K146">
        <v>98</v>
      </c>
      <c r="L146" s="4" t="s">
        <v>861</v>
      </c>
      <c r="M146">
        <v>7</v>
      </c>
      <c r="N146">
        <v>10</v>
      </c>
      <c r="O146" s="4" t="s">
        <v>35</v>
      </c>
      <c r="P146" s="5">
        <v>44358</v>
      </c>
      <c r="Q146">
        <v>4</v>
      </c>
      <c r="R146">
        <v>12</v>
      </c>
      <c r="S146" s="4" t="s">
        <v>46</v>
      </c>
      <c r="T146" s="4" t="s">
        <v>100</v>
      </c>
      <c r="U146" t="str">
        <f t="shared" si="18"/>
        <v>Obese</v>
      </c>
      <c r="V146" s="4" t="str">
        <f t="shared" si="19"/>
        <v>Aged</v>
      </c>
      <c r="W146" s="4" t="str">
        <f t="shared" si="20"/>
        <v>High Bp</v>
      </c>
      <c r="X146" s="4">
        <f t="shared" si="21"/>
        <v>1</v>
      </c>
      <c r="Y146" s="4">
        <f t="shared" si="22"/>
        <v>1</v>
      </c>
      <c r="Z146" s="4">
        <f t="shared" si="23"/>
        <v>0</v>
      </c>
      <c r="AA146" s="4">
        <f t="shared" si="24"/>
        <v>0</v>
      </c>
      <c r="AB146" s="4">
        <f t="shared" si="25"/>
        <v>1</v>
      </c>
      <c r="AC146" s="4">
        <f>SUM(Table1_2[[#This Row],[bp score]],Table1_2[[#This Row],[bmi score]],Table1_2[[#This Row],[Csmoking score]],Table1_2[[#This Row],[Condition score]],Table1_2[[#This Row],[Cholesterol score]],)</f>
        <v>3</v>
      </c>
      <c r="AD146" s="4" t="str">
        <f t="shared" si="26"/>
        <v>Medium risk</v>
      </c>
    </row>
    <row r="147" spans="1:30" x14ac:dyDescent="0.35">
      <c r="A147" s="4" t="s">
        <v>475</v>
      </c>
      <c r="B147" s="4" t="s">
        <v>412</v>
      </c>
      <c r="C147">
        <v>33</v>
      </c>
      <c r="D147" s="4" t="s">
        <v>73</v>
      </c>
      <c r="E147" s="4" t="s">
        <v>131</v>
      </c>
      <c r="F147" s="4" t="s">
        <v>117</v>
      </c>
      <c r="G147">
        <v>31.7</v>
      </c>
      <c r="H147">
        <v>101</v>
      </c>
      <c r="I147">
        <v>76</v>
      </c>
      <c r="J147">
        <v>195</v>
      </c>
      <c r="K147">
        <v>80</v>
      </c>
      <c r="L147" s="4" t="s">
        <v>859</v>
      </c>
      <c r="M147">
        <v>6</v>
      </c>
      <c r="N147">
        <v>9</v>
      </c>
      <c r="O147" s="4" t="s">
        <v>25</v>
      </c>
      <c r="P147" s="5">
        <v>45496</v>
      </c>
      <c r="Q147">
        <v>12</v>
      </c>
      <c r="R147">
        <v>2</v>
      </c>
      <c r="S147" s="4" t="s">
        <v>78</v>
      </c>
      <c r="T147" s="4" t="s">
        <v>100</v>
      </c>
      <c r="U147" t="str">
        <f t="shared" si="18"/>
        <v>Obese</v>
      </c>
      <c r="V147" s="4" t="str">
        <f t="shared" si="19"/>
        <v>Adult</v>
      </c>
      <c r="W147" s="4" t="str">
        <f t="shared" si="20"/>
        <v>Normal</v>
      </c>
      <c r="X147" s="4">
        <f t="shared" si="21"/>
        <v>0</v>
      </c>
      <c r="Y147" s="4">
        <f t="shared" si="22"/>
        <v>1</v>
      </c>
      <c r="Z147" s="4">
        <f t="shared" si="23"/>
        <v>1</v>
      </c>
      <c r="AA147" s="4">
        <f t="shared" si="24"/>
        <v>0</v>
      </c>
      <c r="AB147" s="4">
        <f t="shared" si="25"/>
        <v>0</v>
      </c>
      <c r="AC147" s="4">
        <f>SUM(Table1_2[[#This Row],[bp score]],Table1_2[[#This Row],[bmi score]],Table1_2[[#This Row],[Csmoking score]],Table1_2[[#This Row],[Condition score]],Table1_2[[#This Row],[Cholesterol score]],)</f>
        <v>2</v>
      </c>
      <c r="AD147" s="4" t="str">
        <f t="shared" si="26"/>
        <v>Medium risk</v>
      </c>
    </row>
    <row r="148" spans="1:30" x14ac:dyDescent="0.35">
      <c r="A148" s="4" t="s">
        <v>477</v>
      </c>
      <c r="B148" s="4" t="s">
        <v>478</v>
      </c>
      <c r="C148">
        <v>31</v>
      </c>
      <c r="D148" s="4" t="s">
        <v>32</v>
      </c>
      <c r="E148" s="4" t="s">
        <v>131</v>
      </c>
      <c r="F148" s="4" t="s">
        <v>57</v>
      </c>
      <c r="G148">
        <v>19</v>
      </c>
      <c r="H148">
        <v>126</v>
      </c>
      <c r="I148">
        <v>69</v>
      </c>
      <c r="J148">
        <v>277</v>
      </c>
      <c r="K148">
        <v>153</v>
      </c>
      <c r="L148" s="4" t="s">
        <v>860</v>
      </c>
      <c r="M148">
        <v>0</v>
      </c>
      <c r="N148">
        <v>2</v>
      </c>
      <c r="O148" s="4" t="s">
        <v>25</v>
      </c>
      <c r="P148" s="5">
        <v>45654</v>
      </c>
      <c r="Q148">
        <v>7</v>
      </c>
      <c r="R148">
        <v>1</v>
      </c>
      <c r="S148" s="4" t="s">
        <v>78</v>
      </c>
      <c r="T148" s="4" t="s">
        <v>863</v>
      </c>
      <c r="U148" t="str">
        <f t="shared" si="18"/>
        <v>Normal</v>
      </c>
      <c r="V148" s="4" t="str">
        <f t="shared" si="19"/>
        <v>Adult</v>
      </c>
      <c r="W148" s="4" t="str">
        <f t="shared" si="20"/>
        <v>Elevated</v>
      </c>
      <c r="X148" s="4">
        <f t="shared" si="21"/>
        <v>0</v>
      </c>
      <c r="Y148" s="4">
        <f t="shared" si="22"/>
        <v>0</v>
      </c>
      <c r="Z148" s="4">
        <f t="shared" si="23"/>
        <v>0</v>
      </c>
      <c r="AA148" s="4">
        <f t="shared" si="24"/>
        <v>0</v>
      </c>
      <c r="AB148" s="4">
        <f t="shared" si="25"/>
        <v>1</v>
      </c>
      <c r="AC148" s="4">
        <f>SUM(Table1_2[[#This Row],[bp score]],Table1_2[[#This Row],[bmi score]],Table1_2[[#This Row],[Csmoking score]],Table1_2[[#This Row],[Condition score]],Table1_2[[#This Row],[Cholesterol score]],)</f>
        <v>1</v>
      </c>
      <c r="AD148" s="4" t="str">
        <f t="shared" si="26"/>
        <v>Low risk</v>
      </c>
    </row>
    <row r="149" spans="1:30" x14ac:dyDescent="0.35">
      <c r="A149" s="4" t="s">
        <v>480</v>
      </c>
      <c r="B149" s="4" t="s">
        <v>186</v>
      </c>
      <c r="C149">
        <v>51</v>
      </c>
      <c r="D149" s="4" t="s">
        <v>32</v>
      </c>
      <c r="E149" s="4" t="s">
        <v>74</v>
      </c>
      <c r="F149" s="4" t="s">
        <v>24</v>
      </c>
      <c r="G149">
        <v>20</v>
      </c>
      <c r="H149">
        <v>117</v>
      </c>
      <c r="I149">
        <v>104</v>
      </c>
      <c r="J149">
        <v>142</v>
      </c>
      <c r="K149">
        <v>111</v>
      </c>
      <c r="L149" s="4" t="s">
        <v>859</v>
      </c>
      <c r="M149">
        <v>5</v>
      </c>
      <c r="N149">
        <v>9</v>
      </c>
      <c r="O149" s="4" t="s">
        <v>25</v>
      </c>
      <c r="P149" s="5">
        <v>44717</v>
      </c>
      <c r="Q149">
        <v>8</v>
      </c>
      <c r="R149">
        <v>3</v>
      </c>
      <c r="S149" s="4" t="s">
        <v>99</v>
      </c>
      <c r="T149" s="4" t="s">
        <v>864</v>
      </c>
      <c r="U149" t="str">
        <f t="shared" si="18"/>
        <v>Normal</v>
      </c>
      <c r="V149" s="4" t="str">
        <f t="shared" si="19"/>
        <v>Aged</v>
      </c>
      <c r="W149" s="4" t="str">
        <f t="shared" si="20"/>
        <v>High Bp</v>
      </c>
      <c r="X149" s="4">
        <f t="shared" si="21"/>
        <v>1</v>
      </c>
      <c r="Y149" s="4">
        <f t="shared" si="22"/>
        <v>0</v>
      </c>
      <c r="Z149" s="4">
        <f t="shared" si="23"/>
        <v>1</v>
      </c>
      <c r="AA149" s="4">
        <f t="shared" si="24"/>
        <v>1</v>
      </c>
      <c r="AB149" s="4">
        <f t="shared" si="25"/>
        <v>0</v>
      </c>
      <c r="AC149" s="4">
        <f>SUM(Table1_2[[#This Row],[bp score]],Table1_2[[#This Row],[bmi score]],Table1_2[[#This Row],[Csmoking score]],Table1_2[[#This Row],[Condition score]],Table1_2[[#This Row],[Cholesterol score]],)</f>
        <v>3</v>
      </c>
      <c r="AD149" s="4" t="str">
        <f t="shared" si="26"/>
        <v>Medium risk</v>
      </c>
    </row>
    <row r="150" spans="1:30" x14ac:dyDescent="0.35">
      <c r="A150" s="4" t="s">
        <v>482</v>
      </c>
      <c r="B150" s="4" t="s">
        <v>483</v>
      </c>
      <c r="C150">
        <v>55</v>
      </c>
      <c r="D150" s="4" t="s">
        <v>73</v>
      </c>
      <c r="E150" s="4" t="s">
        <v>74</v>
      </c>
      <c r="F150" s="4" t="s">
        <v>66</v>
      </c>
      <c r="G150">
        <v>32.700000000000003</v>
      </c>
      <c r="H150">
        <v>163</v>
      </c>
      <c r="I150">
        <v>89</v>
      </c>
      <c r="J150">
        <v>270</v>
      </c>
      <c r="K150">
        <v>162</v>
      </c>
      <c r="L150" s="4" t="s">
        <v>859</v>
      </c>
      <c r="M150">
        <v>7</v>
      </c>
      <c r="N150">
        <v>10</v>
      </c>
      <c r="O150" s="4" t="s">
        <v>25</v>
      </c>
      <c r="P150" s="5">
        <v>44994</v>
      </c>
      <c r="Q150">
        <v>3</v>
      </c>
      <c r="R150">
        <v>18</v>
      </c>
      <c r="S150" s="4" t="s">
        <v>78</v>
      </c>
      <c r="T150" s="4" t="s">
        <v>863</v>
      </c>
      <c r="U150" t="str">
        <f t="shared" si="18"/>
        <v>Obese</v>
      </c>
      <c r="V150" s="4" t="str">
        <f t="shared" si="19"/>
        <v>Aged</v>
      </c>
      <c r="W150" s="4" t="str">
        <f t="shared" si="20"/>
        <v>High Bp</v>
      </c>
      <c r="X150" s="4">
        <f t="shared" si="21"/>
        <v>1</v>
      </c>
      <c r="Y150" s="4">
        <f t="shared" si="22"/>
        <v>1</v>
      </c>
      <c r="Z150" s="4">
        <f t="shared" si="23"/>
        <v>1</v>
      </c>
      <c r="AA150" s="4">
        <f t="shared" si="24"/>
        <v>0</v>
      </c>
      <c r="AB150" s="4">
        <f t="shared" si="25"/>
        <v>1</v>
      </c>
      <c r="AC150" s="4">
        <f>SUM(Table1_2[[#This Row],[bp score]],Table1_2[[#This Row],[bmi score]],Table1_2[[#This Row],[Csmoking score]],Table1_2[[#This Row],[Condition score]],Table1_2[[#This Row],[Cholesterol score]],)</f>
        <v>4</v>
      </c>
      <c r="AD150" s="4" t="str">
        <f t="shared" si="26"/>
        <v>High risk</v>
      </c>
    </row>
    <row r="151" spans="1:30" x14ac:dyDescent="0.35">
      <c r="A151" s="4" t="s">
        <v>485</v>
      </c>
      <c r="B151" s="4" t="s">
        <v>486</v>
      </c>
      <c r="C151">
        <v>22</v>
      </c>
      <c r="D151" s="4" t="s">
        <v>32</v>
      </c>
      <c r="E151" s="4" t="s">
        <v>161</v>
      </c>
      <c r="F151" s="4" t="s">
        <v>52</v>
      </c>
      <c r="G151">
        <v>32</v>
      </c>
      <c r="H151">
        <v>149</v>
      </c>
      <c r="I151">
        <v>69</v>
      </c>
      <c r="J151">
        <v>185</v>
      </c>
      <c r="K151">
        <v>79</v>
      </c>
      <c r="L151" s="4" t="s">
        <v>860</v>
      </c>
      <c r="M151">
        <v>7</v>
      </c>
      <c r="N151">
        <v>7</v>
      </c>
      <c r="O151" s="4" t="s">
        <v>35</v>
      </c>
      <c r="P151" s="5" t="s">
        <v>54</v>
      </c>
      <c r="Q151">
        <v>8</v>
      </c>
      <c r="R151">
        <v>2</v>
      </c>
      <c r="S151" s="4" t="s">
        <v>46</v>
      </c>
      <c r="T151" s="4" t="s">
        <v>864</v>
      </c>
      <c r="U151" t="str">
        <f t="shared" si="18"/>
        <v>Obese</v>
      </c>
      <c r="V151" s="4" t="str">
        <f t="shared" si="19"/>
        <v>Young adult</v>
      </c>
      <c r="W151" s="4" t="str">
        <f t="shared" si="20"/>
        <v>High Bp</v>
      </c>
      <c r="X151" s="4">
        <f t="shared" si="21"/>
        <v>1</v>
      </c>
      <c r="Y151" s="4">
        <f t="shared" si="22"/>
        <v>1</v>
      </c>
      <c r="Z151" s="4">
        <f t="shared" si="23"/>
        <v>0</v>
      </c>
      <c r="AA151" s="4">
        <f t="shared" si="24"/>
        <v>0</v>
      </c>
      <c r="AB151" s="4">
        <f t="shared" si="25"/>
        <v>0</v>
      </c>
      <c r="AC151" s="4">
        <f>SUM(Table1_2[[#This Row],[bp score]],Table1_2[[#This Row],[bmi score]],Table1_2[[#This Row],[Csmoking score]],Table1_2[[#This Row],[Condition score]],Table1_2[[#This Row],[Cholesterol score]],)</f>
        <v>2</v>
      </c>
      <c r="AD151" s="4" t="str">
        <f t="shared" si="26"/>
        <v>Medium risk</v>
      </c>
    </row>
    <row r="152" spans="1:30" x14ac:dyDescent="0.35">
      <c r="A152" s="4" t="s">
        <v>487</v>
      </c>
      <c r="B152" s="4" t="s">
        <v>488</v>
      </c>
      <c r="C152">
        <v>25</v>
      </c>
      <c r="D152" s="4" t="s">
        <v>32</v>
      </c>
      <c r="E152" s="4" t="s">
        <v>23</v>
      </c>
      <c r="F152" s="4" t="s">
        <v>75</v>
      </c>
      <c r="G152">
        <v>41.5</v>
      </c>
      <c r="H152">
        <v>151</v>
      </c>
      <c r="I152">
        <v>64</v>
      </c>
      <c r="J152">
        <v>259</v>
      </c>
      <c r="K152">
        <v>142</v>
      </c>
      <c r="L152" s="4" t="s">
        <v>859</v>
      </c>
      <c r="M152">
        <v>5</v>
      </c>
      <c r="N152">
        <v>2</v>
      </c>
      <c r="O152" s="4" t="s">
        <v>35</v>
      </c>
      <c r="P152" s="5">
        <v>44354</v>
      </c>
      <c r="Q152">
        <v>9</v>
      </c>
      <c r="R152">
        <v>18</v>
      </c>
      <c r="S152" s="4" t="s">
        <v>78</v>
      </c>
      <c r="T152" s="4" t="s">
        <v>862</v>
      </c>
      <c r="U152" t="str">
        <f t="shared" si="18"/>
        <v>Obese</v>
      </c>
      <c r="V152" s="4" t="str">
        <f t="shared" si="19"/>
        <v>Young adult</v>
      </c>
      <c r="W152" s="4" t="str">
        <f t="shared" si="20"/>
        <v>High Bp</v>
      </c>
      <c r="X152" s="4">
        <f t="shared" si="21"/>
        <v>1</v>
      </c>
      <c r="Y152" s="4">
        <f t="shared" si="22"/>
        <v>1</v>
      </c>
      <c r="Z152" s="4">
        <f t="shared" si="23"/>
        <v>1</v>
      </c>
      <c r="AA152" s="4">
        <f t="shared" si="24"/>
        <v>0</v>
      </c>
      <c r="AB152" s="4">
        <f t="shared" si="25"/>
        <v>1</v>
      </c>
      <c r="AC152" s="4">
        <f>SUM(Table1_2[[#This Row],[bp score]],Table1_2[[#This Row],[bmi score]],Table1_2[[#This Row],[Csmoking score]],Table1_2[[#This Row],[Condition score]],Table1_2[[#This Row],[Cholesterol score]],)</f>
        <v>4</v>
      </c>
      <c r="AD152" s="4" t="str">
        <f t="shared" si="26"/>
        <v>High risk</v>
      </c>
    </row>
    <row r="153" spans="1:30" x14ac:dyDescent="0.35">
      <c r="A153" s="4" t="s">
        <v>490</v>
      </c>
      <c r="B153" s="4" t="s">
        <v>289</v>
      </c>
      <c r="C153">
        <v>59</v>
      </c>
      <c r="D153" s="4" t="s">
        <v>73</v>
      </c>
      <c r="E153" s="4" t="s">
        <v>23</v>
      </c>
      <c r="F153" s="4" t="s">
        <v>75</v>
      </c>
      <c r="G153">
        <v>36</v>
      </c>
      <c r="H153">
        <v>131</v>
      </c>
      <c r="I153">
        <v>69</v>
      </c>
      <c r="J153">
        <v>141</v>
      </c>
      <c r="K153">
        <v>174</v>
      </c>
      <c r="L153" s="4" t="s">
        <v>859</v>
      </c>
      <c r="M153">
        <v>3</v>
      </c>
      <c r="N153">
        <v>9</v>
      </c>
      <c r="O153" s="4" t="s">
        <v>35</v>
      </c>
      <c r="P153" s="5">
        <v>44348</v>
      </c>
      <c r="Q153">
        <v>12</v>
      </c>
      <c r="R153">
        <v>9</v>
      </c>
      <c r="S153" s="4" t="s">
        <v>92</v>
      </c>
      <c r="T153" s="4" t="s">
        <v>862</v>
      </c>
      <c r="U153" t="str">
        <f t="shared" si="18"/>
        <v>Obese</v>
      </c>
      <c r="V153" s="4" t="str">
        <f t="shared" si="19"/>
        <v>Aged</v>
      </c>
      <c r="W153" s="4" t="str">
        <f t="shared" si="20"/>
        <v>High Bp</v>
      </c>
      <c r="X153" s="4">
        <f t="shared" si="21"/>
        <v>1</v>
      </c>
      <c r="Y153" s="4">
        <f t="shared" si="22"/>
        <v>1</v>
      </c>
      <c r="Z153" s="4">
        <f t="shared" si="23"/>
        <v>1</v>
      </c>
      <c r="AA153" s="4">
        <f t="shared" si="24"/>
        <v>1</v>
      </c>
      <c r="AB153" s="4">
        <f t="shared" si="25"/>
        <v>0</v>
      </c>
      <c r="AC153" s="4">
        <f>SUM(Table1_2[[#This Row],[bp score]],Table1_2[[#This Row],[bmi score]],Table1_2[[#This Row],[Csmoking score]],Table1_2[[#This Row],[Condition score]],Table1_2[[#This Row],[Cholesterol score]],)</f>
        <v>4</v>
      </c>
      <c r="AD153" s="4" t="str">
        <f t="shared" si="26"/>
        <v>High risk</v>
      </c>
    </row>
    <row r="154" spans="1:30" x14ac:dyDescent="0.35">
      <c r="A154" s="4" t="s">
        <v>492</v>
      </c>
      <c r="B154" s="4" t="s">
        <v>493</v>
      </c>
      <c r="C154">
        <v>48</v>
      </c>
      <c r="D154" s="4" t="s">
        <v>73</v>
      </c>
      <c r="E154" s="4" t="s">
        <v>161</v>
      </c>
      <c r="F154" s="4" t="s">
        <v>24</v>
      </c>
      <c r="G154">
        <v>34.799999999999997</v>
      </c>
      <c r="H154">
        <v>111</v>
      </c>
      <c r="I154">
        <v>62</v>
      </c>
      <c r="J154">
        <v>199</v>
      </c>
      <c r="K154">
        <v>203</v>
      </c>
      <c r="L154" s="4" t="s">
        <v>860</v>
      </c>
      <c r="M154">
        <v>5</v>
      </c>
      <c r="N154">
        <v>8</v>
      </c>
      <c r="O154" s="4" t="s">
        <v>35</v>
      </c>
      <c r="P154" s="5">
        <v>44444</v>
      </c>
      <c r="Q154">
        <v>20</v>
      </c>
      <c r="R154">
        <v>12</v>
      </c>
      <c r="S154" s="4" t="s">
        <v>92</v>
      </c>
      <c r="T154" s="4" t="s">
        <v>862</v>
      </c>
      <c r="U154" t="str">
        <f t="shared" si="18"/>
        <v>Obese</v>
      </c>
      <c r="V154" s="4" t="str">
        <f t="shared" si="19"/>
        <v>Elder</v>
      </c>
      <c r="W154" s="4" t="str">
        <f t="shared" si="20"/>
        <v>Normal</v>
      </c>
      <c r="X154" s="4">
        <f t="shared" si="21"/>
        <v>0</v>
      </c>
      <c r="Y154" s="4">
        <f t="shared" si="22"/>
        <v>1</v>
      </c>
      <c r="Z154" s="4">
        <f t="shared" si="23"/>
        <v>0</v>
      </c>
      <c r="AA154" s="4">
        <f t="shared" si="24"/>
        <v>1</v>
      </c>
      <c r="AB154" s="4">
        <f t="shared" si="25"/>
        <v>0</v>
      </c>
      <c r="AC154" s="4">
        <f>SUM(Table1_2[[#This Row],[bp score]],Table1_2[[#This Row],[bmi score]],Table1_2[[#This Row],[Csmoking score]],Table1_2[[#This Row],[Condition score]],Table1_2[[#This Row],[Cholesterol score]],)</f>
        <v>2</v>
      </c>
      <c r="AD154" s="4" t="str">
        <f t="shared" si="26"/>
        <v>Medium risk</v>
      </c>
    </row>
    <row r="155" spans="1:30" x14ac:dyDescent="0.35">
      <c r="A155" s="4" t="s">
        <v>495</v>
      </c>
      <c r="B155" s="4" t="s">
        <v>496</v>
      </c>
      <c r="C155">
        <v>37</v>
      </c>
      <c r="D155" s="4" t="s">
        <v>32</v>
      </c>
      <c r="E155" s="4" t="s">
        <v>74</v>
      </c>
      <c r="F155" s="4" t="s">
        <v>117</v>
      </c>
      <c r="G155">
        <v>40.200000000000003</v>
      </c>
      <c r="H155">
        <v>150</v>
      </c>
      <c r="I155">
        <v>104</v>
      </c>
      <c r="J155">
        <v>223</v>
      </c>
      <c r="K155">
        <v>151</v>
      </c>
      <c r="L155" s="4" t="s">
        <v>859</v>
      </c>
      <c r="M155">
        <v>4</v>
      </c>
      <c r="N155">
        <v>4</v>
      </c>
      <c r="O155" s="4" t="s">
        <v>35</v>
      </c>
      <c r="P155" s="5">
        <v>44645</v>
      </c>
      <c r="Q155">
        <v>18</v>
      </c>
      <c r="R155">
        <v>3</v>
      </c>
      <c r="S155" s="4" t="s">
        <v>60</v>
      </c>
      <c r="T155" s="4" t="s">
        <v>863</v>
      </c>
      <c r="U155" t="str">
        <f t="shared" si="18"/>
        <v>Obese</v>
      </c>
      <c r="V155" s="4" t="str">
        <f t="shared" si="19"/>
        <v>Adult</v>
      </c>
      <c r="W155" s="4" t="str">
        <f t="shared" si="20"/>
        <v>High Bp</v>
      </c>
      <c r="X155" s="4">
        <f t="shared" si="21"/>
        <v>1</v>
      </c>
      <c r="Y155" s="4">
        <f t="shared" si="22"/>
        <v>1</v>
      </c>
      <c r="Z155" s="4">
        <f t="shared" si="23"/>
        <v>1</v>
      </c>
      <c r="AA155" s="4">
        <f t="shared" si="24"/>
        <v>1</v>
      </c>
      <c r="AB155" s="4">
        <f t="shared" si="25"/>
        <v>1</v>
      </c>
      <c r="AC155" s="4">
        <f>SUM(Table1_2[[#This Row],[bp score]],Table1_2[[#This Row],[bmi score]],Table1_2[[#This Row],[Csmoking score]],Table1_2[[#This Row],[Condition score]],Table1_2[[#This Row],[Cholesterol score]],)</f>
        <v>5</v>
      </c>
      <c r="AD155" s="4" t="str">
        <f t="shared" si="26"/>
        <v>High risk</v>
      </c>
    </row>
    <row r="156" spans="1:30" x14ac:dyDescent="0.35">
      <c r="A156" s="4" t="s">
        <v>498</v>
      </c>
      <c r="B156" s="4" t="s">
        <v>116</v>
      </c>
      <c r="C156">
        <v>51</v>
      </c>
      <c r="D156" s="4" t="s">
        <v>73</v>
      </c>
      <c r="E156" s="4" t="s">
        <v>65</v>
      </c>
      <c r="F156" s="4" t="s">
        <v>82</v>
      </c>
      <c r="G156">
        <v>30.4</v>
      </c>
      <c r="H156">
        <v>126</v>
      </c>
      <c r="I156">
        <v>88</v>
      </c>
      <c r="J156">
        <v>218</v>
      </c>
      <c r="K156">
        <v>188</v>
      </c>
      <c r="L156" s="4" t="s">
        <v>859</v>
      </c>
      <c r="M156">
        <v>1</v>
      </c>
      <c r="N156">
        <v>2</v>
      </c>
      <c r="O156" s="4" t="s">
        <v>25</v>
      </c>
      <c r="P156" s="5">
        <v>45283</v>
      </c>
      <c r="Q156">
        <v>19</v>
      </c>
      <c r="R156">
        <v>1</v>
      </c>
      <c r="S156" s="4" t="s">
        <v>78</v>
      </c>
      <c r="T156" s="4" t="s">
        <v>864</v>
      </c>
      <c r="U156" t="str">
        <f t="shared" si="18"/>
        <v>Obese</v>
      </c>
      <c r="V156" s="4" t="str">
        <f t="shared" si="19"/>
        <v>Aged</v>
      </c>
      <c r="W156" s="4" t="str">
        <f t="shared" si="20"/>
        <v>High Bp</v>
      </c>
      <c r="X156" s="4">
        <f t="shared" si="21"/>
        <v>1</v>
      </c>
      <c r="Y156" s="4">
        <f t="shared" si="22"/>
        <v>1</v>
      </c>
      <c r="Z156" s="4">
        <f t="shared" si="23"/>
        <v>1</v>
      </c>
      <c r="AA156" s="4">
        <f t="shared" si="24"/>
        <v>0</v>
      </c>
      <c r="AB156" s="4">
        <f t="shared" si="25"/>
        <v>1</v>
      </c>
      <c r="AC156" s="4">
        <f>SUM(Table1_2[[#This Row],[bp score]],Table1_2[[#This Row],[bmi score]],Table1_2[[#This Row],[Csmoking score]],Table1_2[[#This Row],[Condition score]],Table1_2[[#This Row],[Cholesterol score]],)</f>
        <v>4</v>
      </c>
      <c r="AD156" s="4" t="str">
        <f t="shared" si="26"/>
        <v>High risk</v>
      </c>
    </row>
    <row r="157" spans="1:30" x14ac:dyDescent="0.35">
      <c r="A157" s="4" t="s">
        <v>500</v>
      </c>
      <c r="B157" s="4" t="s">
        <v>501</v>
      </c>
      <c r="C157">
        <v>37</v>
      </c>
      <c r="D157" s="4" t="s">
        <v>73</v>
      </c>
      <c r="E157" s="4" t="s">
        <v>65</v>
      </c>
      <c r="F157" s="4" t="s">
        <v>75</v>
      </c>
      <c r="G157">
        <v>18.2</v>
      </c>
      <c r="H157">
        <v>138</v>
      </c>
      <c r="I157">
        <v>76</v>
      </c>
      <c r="J157">
        <v>184</v>
      </c>
      <c r="K157">
        <v>77</v>
      </c>
      <c r="L157" s="4" t="s">
        <v>860</v>
      </c>
      <c r="M157">
        <v>7</v>
      </c>
      <c r="N157">
        <v>9</v>
      </c>
      <c r="O157" s="4" t="s">
        <v>35</v>
      </c>
      <c r="P157" s="5">
        <v>44412</v>
      </c>
      <c r="Q157">
        <v>4</v>
      </c>
      <c r="R157">
        <v>3</v>
      </c>
      <c r="S157" s="4" t="s">
        <v>99</v>
      </c>
      <c r="T157" s="4" t="s">
        <v>862</v>
      </c>
      <c r="U157" t="str">
        <f t="shared" si="18"/>
        <v>Underweight</v>
      </c>
      <c r="V157" s="4" t="str">
        <f t="shared" si="19"/>
        <v>Adult</v>
      </c>
      <c r="W157" s="4" t="str">
        <f t="shared" si="20"/>
        <v>High Bp</v>
      </c>
      <c r="X157" s="4">
        <f t="shared" si="21"/>
        <v>1</v>
      </c>
      <c r="Y157" s="4">
        <f t="shared" si="22"/>
        <v>0</v>
      </c>
      <c r="Z157" s="4">
        <f t="shared" si="23"/>
        <v>0</v>
      </c>
      <c r="AA157" s="4">
        <f t="shared" si="24"/>
        <v>1</v>
      </c>
      <c r="AB157" s="4">
        <f t="shared" si="25"/>
        <v>0</v>
      </c>
      <c r="AC157" s="4">
        <f>SUM(Table1_2[[#This Row],[bp score]],Table1_2[[#This Row],[bmi score]],Table1_2[[#This Row],[Csmoking score]],Table1_2[[#This Row],[Condition score]],Table1_2[[#This Row],[Cholesterol score]],)</f>
        <v>2</v>
      </c>
      <c r="AD157" s="4" t="str">
        <f t="shared" si="26"/>
        <v>Medium risk</v>
      </c>
    </row>
    <row r="158" spans="1:30" x14ac:dyDescent="0.35">
      <c r="A158" s="4" t="s">
        <v>503</v>
      </c>
      <c r="B158" s="4" t="s">
        <v>504</v>
      </c>
      <c r="C158">
        <v>34</v>
      </c>
      <c r="D158" s="4" t="s">
        <v>32</v>
      </c>
      <c r="E158" s="4" t="s">
        <v>127</v>
      </c>
      <c r="F158" s="4" t="s">
        <v>82</v>
      </c>
      <c r="G158">
        <v>31.6</v>
      </c>
      <c r="H158">
        <v>133</v>
      </c>
      <c r="I158">
        <v>64</v>
      </c>
      <c r="J158">
        <v>145</v>
      </c>
      <c r="K158">
        <v>86</v>
      </c>
      <c r="L158" s="4" t="s">
        <v>861</v>
      </c>
      <c r="M158">
        <v>7</v>
      </c>
      <c r="N158">
        <v>8</v>
      </c>
      <c r="O158" s="4" t="s">
        <v>25</v>
      </c>
      <c r="P158" s="5">
        <v>44351</v>
      </c>
      <c r="Q158">
        <v>1</v>
      </c>
      <c r="R158">
        <v>14</v>
      </c>
      <c r="S158" s="4" t="s">
        <v>99</v>
      </c>
      <c r="T158" s="4" t="s">
        <v>864</v>
      </c>
      <c r="U158" t="str">
        <f t="shared" si="18"/>
        <v>Obese</v>
      </c>
      <c r="V158" s="4" t="str">
        <f t="shared" si="19"/>
        <v>Adult</v>
      </c>
      <c r="W158" s="4" t="str">
        <f t="shared" si="20"/>
        <v>High Bp</v>
      </c>
      <c r="X158" s="4">
        <f t="shared" si="21"/>
        <v>1</v>
      </c>
      <c r="Y158" s="4">
        <f t="shared" si="22"/>
        <v>1</v>
      </c>
      <c r="Z158" s="4">
        <f t="shared" si="23"/>
        <v>0</v>
      </c>
      <c r="AA158" s="4">
        <f t="shared" si="24"/>
        <v>1</v>
      </c>
      <c r="AB158" s="4">
        <f t="shared" si="25"/>
        <v>0</v>
      </c>
      <c r="AC158" s="4">
        <f>SUM(Table1_2[[#This Row],[bp score]],Table1_2[[#This Row],[bmi score]],Table1_2[[#This Row],[Csmoking score]],Table1_2[[#This Row],[Condition score]],Table1_2[[#This Row],[Cholesterol score]],)</f>
        <v>3</v>
      </c>
      <c r="AD158" s="4" t="str">
        <f t="shared" si="26"/>
        <v>Medium risk</v>
      </c>
    </row>
    <row r="159" spans="1:30" x14ac:dyDescent="0.35">
      <c r="A159" s="4" t="s">
        <v>506</v>
      </c>
      <c r="B159" s="4" t="s">
        <v>507</v>
      </c>
      <c r="C159">
        <v>47</v>
      </c>
      <c r="D159" s="4" t="s">
        <v>73</v>
      </c>
      <c r="E159" s="4" t="s">
        <v>161</v>
      </c>
      <c r="F159" s="4" t="s">
        <v>82</v>
      </c>
      <c r="G159">
        <v>34.1</v>
      </c>
      <c r="H159">
        <v>122</v>
      </c>
      <c r="I159">
        <v>82</v>
      </c>
      <c r="J159">
        <v>194</v>
      </c>
      <c r="K159">
        <v>117</v>
      </c>
      <c r="L159" s="4" t="s">
        <v>859</v>
      </c>
      <c r="M159">
        <v>4</v>
      </c>
      <c r="N159">
        <v>8</v>
      </c>
      <c r="O159" s="4" t="s">
        <v>25</v>
      </c>
      <c r="P159" s="5">
        <v>44489</v>
      </c>
      <c r="Q159">
        <v>19</v>
      </c>
      <c r="R159">
        <v>7</v>
      </c>
      <c r="S159" s="4" t="s">
        <v>78</v>
      </c>
      <c r="T159" s="4" t="s">
        <v>863</v>
      </c>
      <c r="U159" t="str">
        <f t="shared" si="18"/>
        <v>Obese</v>
      </c>
      <c r="V159" s="4" t="str">
        <f t="shared" si="19"/>
        <v>Elder</v>
      </c>
      <c r="W159" s="4" t="str">
        <f t="shared" si="20"/>
        <v>High Bp</v>
      </c>
      <c r="X159" s="4">
        <f t="shared" si="21"/>
        <v>1</v>
      </c>
      <c r="Y159" s="4">
        <f t="shared" si="22"/>
        <v>1</v>
      </c>
      <c r="Z159" s="4">
        <f t="shared" si="23"/>
        <v>1</v>
      </c>
      <c r="AA159" s="4">
        <f t="shared" si="24"/>
        <v>0</v>
      </c>
      <c r="AB159" s="4">
        <f t="shared" si="25"/>
        <v>0</v>
      </c>
      <c r="AC159" s="4">
        <f>SUM(Table1_2[[#This Row],[bp score]],Table1_2[[#This Row],[bmi score]],Table1_2[[#This Row],[Csmoking score]],Table1_2[[#This Row],[Condition score]],Table1_2[[#This Row],[Cholesterol score]],)</f>
        <v>3</v>
      </c>
      <c r="AD159" s="4" t="str">
        <f t="shared" si="26"/>
        <v>Medium risk</v>
      </c>
    </row>
    <row r="160" spans="1:30" x14ac:dyDescent="0.35">
      <c r="A160" s="4" t="s">
        <v>509</v>
      </c>
      <c r="B160" s="4" t="s">
        <v>510</v>
      </c>
      <c r="C160">
        <v>57</v>
      </c>
      <c r="D160" s="4" t="s">
        <v>73</v>
      </c>
      <c r="E160" s="4" t="s">
        <v>161</v>
      </c>
      <c r="F160" s="4" t="s">
        <v>82</v>
      </c>
      <c r="G160">
        <v>24</v>
      </c>
      <c r="H160">
        <v>117</v>
      </c>
      <c r="I160">
        <v>86</v>
      </c>
      <c r="J160">
        <v>191</v>
      </c>
      <c r="K160">
        <v>234</v>
      </c>
      <c r="L160" s="4" t="s">
        <v>860</v>
      </c>
      <c r="M160">
        <v>3</v>
      </c>
      <c r="N160">
        <v>9</v>
      </c>
      <c r="O160" s="4" t="s">
        <v>25</v>
      </c>
      <c r="P160" s="5">
        <v>45638</v>
      </c>
      <c r="Q160">
        <v>15</v>
      </c>
      <c r="R160">
        <v>17</v>
      </c>
      <c r="S160" s="4" t="s">
        <v>92</v>
      </c>
      <c r="T160" s="4" t="s">
        <v>864</v>
      </c>
      <c r="U160" t="str">
        <f t="shared" si="18"/>
        <v>Normal</v>
      </c>
      <c r="V160" s="4" t="str">
        <f t="shared" si="19"/>
        <v>Aged</v>
      </c>
      <c r="W160" s="4" t="str">
        <f t="shared" si="20"/>
        <v>High Bp</v>
      </c>
      <c r="X160" s="4">
        <f t="shared" si="21"/>
        <v>1</v>
      </c>
      <c r="Y160" s="4">
        <f t="shared" si="22"/>
        <v>0</v>
      </c>
      <c r="Z160" s="4">
        <f t="shared" si="23"/>
        <v>0</v>
      </c>
      <c r="AA160" s="4">
        <f t="shared" si="24"/>
        <v>1</v>
      </c>
      <c r="AB160" s="4">
        <f t="shared" si="25"/>
        <v>0</v>
      </c>
      <c r="AC160" s="4">
        <f>SUM(Table1_2[[#This Row],[bp score]],Table1_2[[#This Row],[bmi score]],Table1_2[[#This Row],[Csmoking score]],Table1_2[[#This Row],[Condition score]],Table1_2[[#This Row],[Cholesterol score]],)</f>
        <v>2</v>
      </c>
      <c r="AD160" s="4" t="str">
        <f t="shared" si="26"/>
        <v>Medium risk</v>
      </c>
    </row>
    <row r="161" spans="1:30" x14ac:dyDescent="0.35">
      <c r="A161" s="4" t="s">
        <v>512</v>
      </c>
      <c r="B161" s="4" t="s">
        <v>513</v>
      </c>
      <c r="C161">
        <v>42</v>
      </c>
      <c r="D161" s="4" t="s">
        <v>32</v>
      </c>
      <c r="E161" s="4" t="s">
        <v>74</v>
      </c>
      <c r="F161" s="4" t="s">
        <v>24</v>
      </c>
      <c r="G161">
        <v>17.7</v>
      </c>
      <c r="H161">
        <v>134</v>
      </c>
      <c r="I161">
        <v>61</v>
      </c>
      <c r="J161">
        <v>211</v>
      </c>
      <c r="K161">
        <v>84</v>
      </c>
      <c r="L161" s="4" t="s">
        <v>859</v>
      </c>
      <c r="M161">
        <v>0</v>
      </c>
      <c r="N161">
        <v>6</v>
      </c>
      <c r="O161" s="4" t="s">
        <v>35</v>
      </c>
      <c r="P161" s="5">
        <v>44600</v>
      </c>
      <c r="Q161">
        <v>7</v>
      </c>
      <c r="R161">
        <v>8</v>
      </c>
      <c r="S161" s="4" t="s">
        <v>38</v>
      </c>
      <c r="T161" s="4" t="s">
        <v>862</v>
      </c>
      <c r="U161" t="str">
        <f t="shared" si="18"/>
        <v>Underweight</v>
      </c>
      <c r="V161" s="4" t="str">
        <f t="shared" si="19"/>
        <v>Elder</v>
      </c>
      <c r="W161" s="4" t="str">
        <f t="shared" si="20"/>
        <v>High Bp</v>
      </c>
      <c r="X161" s="4">
        <f t="shared" si="21"/>
        <v>1</v>
      </c>
      <c r="Y161" s="4">
        <f t="shared" si="22"/>
        <v>0</v>
      </c>
      <c r="Z161" s="4">
        <f t="shared" si="23"/>
        <v>1</v>
      </c>
      <c r="AA161" s="4">
        <f t="shared" si="24"/>
        <v>1</v>
      </c>
      <c r="AB161" s="4">
        <f t="shared" si="25"/>
        <v>1</v>
      </c>
      <c r="AC161" s="4">
        <f>SUM(Table1_2[[#This Row],[bp score]],Table1_2[[#This Row],[bmi score]],Table1_2[[#This Row],[Csmoking score]],Table1_2[[#This Row],[Condition score]],Table1_2[[#This Row],[Cholesterol score]],)</f>
        <v>4</v>
      </c>
      <c r="AD161" s="4" t="str">
        <f t="shared" si="26"/>
        <v>High risk</v>
      </c>
    </row>
    <row r="162" spans="1:30" x14ac:dyDescent="0.35">
      <c r="A162" s="4" t="s">
        <v>515</v>
      </c>
      <c r="B162" s="4" t="s">
        <v>80</v>
      </c>
      <c r="C162">
        <v>46</v>
      </c>
      <c r="D162" s="4" t="s">
        <v>73</v>
      </c>
      <c r="E162" s="4" t="s">
        <v>33</v>
      </c>
      <c r="F162" s="4" t="s">
        <v>24</v>
      </c>
      <c r="G162">
        <v>22.9</v>
      </c>
      <c r="H162">
        <v>140</v>
      </c>
      <c r="I162">
        <v>104</v>
      </c>
      <c r="J162">
        <v>231</v>
      </c>
      <c r="K162">
        <v>221</v>
      </c>
      <c r="L162" s="4" t="s">
        <v>859</v>
      </c>
      <c r="M162">
        <v>5</v>
      </c>
      <c r="N162">
        <v>10</v>
      </c>
      <c r="O162" s="4" t="s">
        <v>25</v>
      </c>
      <c r="P162" s="5">
        <v>44791</v>
      </c>
      <c r="Q162">
        <v>9</v>
      </c>
      <c r="R162">
        <v>5</v>
      </c>
      <c r="S162" s="4" t="s">
        <v>92</v>
      </c>
      <c r="T162" s="4" t="s">
        <v>862</v>
      </c>
      <c r="U162" t="str">
        <f t="shared" si="18"/>
        <v>Normal</v>
      </c>
      <c r="V162" s="4" t="str">
        <f t="shared" si="19"/>
        <v>Elder</v>
      </c>
      <c r="W162" s="4" t="str">
        <f t="shared" si="20"/>
        <v>High Bp</v>
      </c>
      <c r="X162" s="4">
        <f t="shared" si="21"/>
        <v>1</v>
      </c>
      <c r="Y162" s="4">
        <f t="shared" si="22"/>
        <v>0</v>
      </c>
      <c r="Z162" s="4">
        <f t="shared" si="23"/>
        <v>1</v>
      </c>
      <c r="AA162" s="4">
        <f t="shared" si="24"/>
        <v>1</v>
      </c>
      <c r="AB162" s="4">
        <f t="shared" si="25"/>
        <v>1</v>
      </c>
      <c r="AC162" s="4">
        <f>SUM(Table1_2[[#This Row],[bp score]],Table1_2[[#This Row],[bmi score]],Table1_2[[#This Row],[Csmoking score]],Table1_2[[#This Row],[Condition score]],Table1_2[[#This Row],[Cholesterol score]],)</f>
        <v>4</v>
      </c>
      <c r="AD162" s="4" t="str">
        <f t="shared" si="26"/>
        <v>High risk</v>
      </c>
    </row>
    <row r="163" spans="1:30" x14ac:dyDescent="0.35">
      <c r="A163" s="4" t="s">
        <v>517</v>
      </c>
      <c r="B163" s="4" t="s">
        <v>154</v>
      </c>
      <c r="C163">
        <v>36</v>
      </c>
      <c r="D163" s="4" t="s">
        <v>73</v>
      </c>
      <c r="E163" s="4" t="s">
        <v>161</v>
      </c>
      <c r="F163" s="4" t="s">
        <v>75</v>
      </c>
      <c r="G163">
        <v>28.9</v>
      </c>
      <c r="H163">
        <v>142</v>
      </c>
      <c r="I163">
        <v>99</v>
      </c>
      <c r="J163">
        <v>191</v>
      </c>
      <c r="K163">
        <v>103</v>
      </c>
      <c r="L163" s="4" t="s">
        <v>860</v>
      </c>
      <c r="M163">
        <v>2</v>
      </c>
      <c r="N163">
        <v>6</v>
      </c>
      <c r="O163" s="4" t="s">
        <v>25</v>
      </c>
      <c r="P163" s="5">
        <v>44274</v>
      </c>
      <c r="Q163">
        <v>4</v>
      </c>
      <c r="R163">
        <v>3</v>
      </c>
      <c r="S163" s="4" t="s">
        <v>38</v>
      </c>
      <c r="T163" s="4" t="s">
        <v>864</v>
      </c>
      <c r="U163" t="str">
        <f t="shared" si="18"/>
        <v>Overweight</v>
      </c>
      <c r="V163" s="4" t="str">
        <f t="shared" si="19"/>
        <v>Adult</v>
      </c>
      <c r="W163" s="4" t="str">
        <f t="shared" si="20"/>
        <v>High Bp</v>
      </c>
      <c r="X163" s="4">
        <f t="shared" si="21"/>
        <v>1</v>
      </c>
      <c r="Y163" s="4">
        <f t="shared" si="22"/>
        <v>0</v>
      </c>
      <c r="Z163" s="4">
        <f t="shared" si="23"/>
        <v>0</v>
      </c>
      <c r="AA163" s="4">
        <f t="shared" si="24"/>
        <v>1</v>
      </c>
      <c r="AB163" s="4">
        <f t="shared" si="25"/>
        <v>0</v>
      </c>
      <c r="AC163" s="4">
        <f>SUM(Table1_2[[#This Row],[bp score]],Table1_2[[#This Row],[bmi score]],Table1_2[[#This Row],[Csmoking score]],Table1_2[[#This Row],[Condition score]],Table1_2[[#This Row],[Cholesterol score]],)</f>
        <v>2</v>
      </c>
      <c r="AD163" s="4" t="str">
        <f t="shared" si="26"/>
        <v>Medium risk</v>
      </c>
    </row>
    <row r="164" spans="1:30" x14ac:dyDescent="0.35">
      <c r="A164" s="4" t="s">
        <v>519</v>
      </c>
      <c r="B164" s="4" t="s">
        <v>520</v>
      </c>
      <c r="C164">
        <v>47</v>
      </c>
      <c r="D164" s="4" t="s">
        <v>73</v>
      </c>
      <c r="E164" s="4" t="s">
        <v>127</v>
      </c>
      <c r="F164" s="4" t="s">
        <v>57</v>
      </c>
      <c r="G164">
        <v>25.1</v>
      </c>
      <c r="H164">
        <v>120</v>
      </c>
      <c r="I164">
        <v>87</v>
      </c>
      <c r="J164">
        <v>264</v>
      </c>
      <c r="K164">
        <v>236</v>
      </c>
      <c r="L164" s="4" t="s">
        <v>860</v>
      </c>
      <c r="M164">
        <v>2</v>
      </c>
      <c r="N164">
        <v>9</v>
      </c>
      <c r="O164" s="4" t="s">
        <v>35</v>
      </c>
      <c r="P164" s="5">
        <v>44884</v>
      </c>
      <c r="Q164">
        <v>5</v>
      </c>
      <c r="R164">
        <v>12</v>
      </c>
      <c r="S164" s="4" t="s">
        <v>78</v>
      </c>
      <c r="T164" s="4" t="s">
        <v>863</v>
      </c>
      <c r="U164" t="str">
        <f t="shared" si="18"/>
        <v>Overweight</v>
      </c>
      <c r="V164" s="4" t="str">
        <f t="shared" si="19"/>
        <v>Elder</v>
      </c>
      <c r="W164" s="4" t="str">
        <f t="shared" si="20"/>
        <v>High Bp</v>
      </c>
      <c r="X164" s="4">
        <f t="shared" si="21"/>
        <v>1</v>
      </c>
      <c r="Y164" s="4">
        <f t="shared" si="22"/>
        <v>0</v>
      </c>
      <c r="Z164" s="4">
        <f t="shared" si="23"/>
        <v>0</v>
      </c>
      <c r="AA164" s="4">
        <f t="shared" si="24"/>
        <v>0</v>
      </c>
      <c r="AB164" s="4">
        <f t="shared" si="25"/>
        <v>1</v>
      </c>
      <c r="AC164" s="4">
        <f>SUM(Table1_2[[#This Row],[bp score]],Table1_2[[#This Row],[bmi score]],Table1_2[[#This Row],[Csmoking score]],Table1_2[[#This Row],[Condition score]],Table1_2[[#This Row],[Cholesterol score]],)</f>
        <v>2</v>
      </c>
      <c r="AD164" s="4" t="str">
        <f t="shared" si="26"/>
        <v>Medium risk</v>
      </c>
    </row>
    <row r="165" spans="1:30" x14ac:dyDescent="0.35">
      <c r="A165" s="4" t="s">
        <v>522</v>
      </c>
      <c r="B165" s="4" t="s">
        <v>523</v>
      </c>
      <c r="C165">
        <v>22</v>
      </c>
      <c r="D165" s="4" t="s">
        <v>32</v>
      </c>
      <c r="E165" s="4" t="s">
        <v>33</v>
      </c>
      <c r="F165" s="4" t="s">
        <v>117</v>
      </c>
      <c r="G165">
        <v>21.6</v>
      </c>
      <c r="H165">
        <v>140</v>
      </c>
      <c r="I165">
        <v>99</v>
      </c>
      <c r="J165">
        <v>196</v>
      </c>
      <c r="K165">
        <v>233</v>
      </c>
      <c r="L165" s="4" t="s">
        <v>100</v>
      </c>
      <c r="M165">
        <v>1</v>
      </c>
      <c r="N165">
        <v>8</v>
      </c>
      <c r="O165" s="4" t="s">
        <v>25</v>
      </c>
      <c r="P165" s="5">
        <v>45263</v>
      </c>
      <c r="Q165">
        <v>7</v>
      </c>
      <c r="R165">
        <v>11</v>
      </c>
      <c r="S165" s="4" t="s">
        <v>78</v>
      </c>
      <c r="T165" s="4" t="s">
        <v>864</v>
      </c>
      <c r="U165" t="str">
        <f t="shared" si="18"/>
        <v>Normal</v>
      </c>
      <c r="V165" s="4" t="str">
        <f t="shared" si="19"/>
        <v>Young adult</v>
      </c>
      <c r="W165" s="4" t="str">
        <f t="shared" si="20"/>
        <v>High Bp</v>
      </c>
      <c r="X165" s="4">
        <f t="shared" si="21"/>
        <v>1</v>
      </c>
      <c r="Y165" s="4">
        <f t="shared" si="22"/>
        <v>0</v>
      </c>
      <c r="Z165" s="4">
        <f t="shared" si="23"/>
        <v>0</v>
      </c>
      <c r="AA165" s="4">
        <f t="shared" si="24"/>
        <v>0</v>
      </c>
      <c r="AB165" s="4">
        <f t="shared" si="25"/>
        <v>0</v>
      </c>
      <c r="AC165" s="4">
        <f>SUM(Table1_2[[#This Row],[bp score]],Table1_2[[#This Row],[bmi score]],Table1_2[[#This Row],[Csmoking score]],Table1_2[[#This Row],[Condition score]],Table1_2[[#This Row],[Cholesterol score]],)</f>
        <v>1</v>
      </c>
      <c r="AD165" s="4" t="str">
        <f t="shared" si="26"/>
        <v>Low risk</v>
      </c>
    </row>
    <row r="166" spans="1:30" x14ac:dyDescent="0.35">
      <c r="A166" s="4" t="s">
        <v>525</v>
      </c>
      <c r="B166" s="4" t="s">
        <v>130</v>
      </c>
      <c r="C166">
        <v>50</v>
      </c>
      <c r="D166" s="4" t="s">
        <v>32</v>
      </c>
      <c r="E166" s="4" t="s">
        <v>74</v>
      </c>
      <c r="F166" s="4" t="s">
        <v>52</v>
      </c>
      <c r="G166">
        <v>23.2</v>
      </c>
      <c r="H166">
        <v>108</v>
      </c>
      <c r="I166">
        <v>82</v>
      </c>
      <c r="J166">
        <v>213</v>
      </c>
      <c r="K166">
        <v>97</v>
      </c>
      <c r="L166" s="4" t="s">
        <v>859</v>
      </c>
      <c r="M166">
        <v>0</v>
      </c>
      <c r="N166">
        <v>7</v>
      </c>
      <c r="O166" s="4" t="s">
        <v>35</v>
      </c>
      <c r="P166" s="5">
        <v>45365</v>
      </c>
      <c r="Q166">
        <v>15</v>
      </c>
      <c r="R166">
        <v>12</v>
      </c>
      <c r="S166" s="4" t="s">
        <v>78</v>
      </c>
      <c r="T166" s="4" t="s">
        <v>100</v>
      </c>
      <c r="U166" t="str">
        <f t="shared" si="18"/>
        <v>Normal</v>
      </c>
      <c r="V166" s="4" t="str">
        <f t="shared" si="19"/>
        <v>Elder</v>
      </c>
      <c r="W166" s="4" t="str">
        <f t="shared" si="20"/>
        <v>High Bp</v>
      </c>
      <c r="X166" s="4">
        <f t="shared" si="21"/>
        <v>1</v>
      </c>
      <c r="Y166" s="4">
        <f t="shared" si="22"/>
        <v>0</v>
      </c>
      <c r="Z166" s="4">
        <f t="shared" si="23"/>
        <v>1</v>
      </c>
      <c r="AA166" s="4">
        <f t="shared" si="24"/>
        <v>0</v>
      </c>
      <c r="AB166" s="4">
        <f t="shared" si="25"/>
        <v>1</v>
      </c>
      <c r="AC166" s="4">
        <f>SUM(Table1_2[[#This Row],[bp score]],Table1_2[[#This Row],[bmi score]],Table1_2[[#This Row],[Csmoking score]],Table1_2[[#This Row],[Condition score]],Table1_2[[#This Row],[Cholesterol score]],)</f>
        <v>3</v>
      </c>
      <c r="AD166" s="4" t="str">
        <f t="shared" si="26"/>
        <v>Medium risk</v>
      </c>
    </row>
    <row r="167" spans="1:30" x14ac:dyDescent="0.35">
      <c r="A167" s="4" t="s">
        <v>527</v>
      </c>
      <c r="B167" s="4" t="s">
        <v>528</v>
      </c>
      <c r="C167">
        <v>52</v>
      </c>
      <c r="D167" s="4" t="s">
        <v>73</v>
      </c>
      <c r="E167" s="4" t="s">
        <v>33</v>
      </c>
      <c r="F167" s="4" t="s">
        <v>90</v>
      </c>
      <c r="G167">
        <v>18.8</v>
      </c>
      <c r="H167">
        <v>104</v>
      </c>
      <c r="I167">
        <v>78</v>
      </c>
      <c r="J167">
        <v>145</v>
      </c>
      <c r="K167">
        <v>151</v>
      </c>
      <c r="L167" s="4" t="s">
        <v>859</v>
      </c>
      <c r="M167">
        <v>1</v>
      </c>
      <c r="N167">
        <v>2</v>
      </c>
      <c r="O167" s="4" t="s">
        <v>35</v>
      </c>
      <c r="P167" s="5">
        <v>44748</v>
      </c>
      <c r="Q167">
        <v>2</v>
      </c>
      <c r="R167">
        <v>17</v>
      </c>
      <c r="S167" s="4" t="s">
        <v>92</v>
      </c>
      <c r="T167" s="4" t="s">
        <v>864</v>
      </c>
      <c r="U167" t="str">
        <f t="shared" si="18"/>
        <v>Normal</v>
      </c>
      <c r="V167" s="4" t="str">
        <f t="shared" si="19"/>
        <v>Aged</v>
      </c>
      <c r="W167" s="4" t="str">
        <f t="shared" si="20"/>
        <v>Normal</v>
      </c>
      <c r="X167" s="4">
        <f t="shared" si="21"/>
        <v>0</v>
      </c>
      <c r="Y167" s="4">
        <f t="shared" si="22"/>
        <v>0</v>
      </c>
      <c r="Z167" s="4">
        <f t="shared" si="23"/>
        <v>1</v>
      </c>
      <c r="AA167" s="4">
        <f t="shared" si="24"/>
        <v>1</v>
      </c>
      <c r="AB167" s="4">
        <f t="shared" si="25"/>
        <v>0</v>
      </c>
      <c r="AC167" s="4">
        <f>SUM(Table1_2[[#This Row],[bp score]],Table1_2[[#This Row],[bmi score]],Table1_2[[#This Row],[Csmoking score]],Table1_2[[#This Row],[Condition score]],Table1_2[[#This Row],[Cholesterol score]],)</f>
        <v>2</v>
      </c>
      <c r="AD167" s="4" t="str">
        <f t="shared" si="26"/>
        <v>Medium risk</v>
      </c>
    </row>
    <row r="168" spans="1:30" x14ac:dyDescent="0.35">
      <c r="A168" s="4" t="s">
        <v>530</v>
      </c>
      <c r="B168" s="4" t="s">
        <v>531</v>
      </c>
      <c r="C168">
        <v>52</v>
      </c>
      <c r="D168" s="4" t="s">
        <v>32</v>
      </c>
      <c r="E168" s="4" t="s">
        <v>65</v>
      </c>
      <c r="F168" s="4" t="s">
        <v>24</v>
      </c>
      <c r="G168">
        <v>32.200000000000003</v>
      </c>
      <c r="H168">
        <v>155</v>
      </c>
      <c r="I168">
        <v>70</v>
      </c>
      <c r="J168">
        <v>153</v>
      </c>
      <c r="K168">
        <v>95</v>
      </c>
      <c r="L168" s="4" t="s">
        <v>860</v>
      </c>
      <c r="M168">
        <v>3</v>
      </c>
      <c r="N168">
        <v>4</v>
      </c>
      <c r="O168" s="4" t="s">
        <v>25</v>
      </c>
      <c r="P168" s="5">
        <v>45240</v>
      </c>
      <c r="Q168">
        <v>9</v>
      </c>
      <c r="R168">
        <v>7</v>
      </c>
      <c r="S168" s="4" t="s">
        <v>92</v>
      </c>
      <c r="T168" s="4" t="s">
        <v>862</v>
      </c>
      <c r="U168" t="str">
        <f t="shared" si="18"/>
        <v>Obese</v>
      </c>
      <c r="V168" s="4" t="str">
        <f t="shared" si="19"/>
        <v>Aged</v>
      </c>
      <c r="W168" s="4" t="str">
        <f t="shared" si="20"/>
        <v>High Bp</v>
      </c>
      <c r="X168" s="4">
        <f t="shared" si="21"/>
        <v>1</v>
      </c>
      <c r="Y168" s="4">
        <f t="shared" si="22"/>
        <v>1</v>
      </c>
      <c r="Z168" s="4">
        <f t="shared" si="23"/>
        <v>0</v>
      </c>
      <c r="AA168" s="4">
        <f t="shared" si="24"/>
        <v>1</v>
      </c>
      <c r="AB168" s="4">
        <f t="shared" si="25"/>
        <v>0</v>
      </c>
      <c r="AC168" s="4">
        <f>SUM(Table1_2[[#This Row],[bp score]],Table1_2[[#This Row],[bmi score]],Table1_2[[#This Row],[Csmoking score]],Table1_2[[#This Row],[Condition score]],Table1_2[[#This Row],[Cholesterol score]],)</f>
        <v>3</v>
      </c>
      <c r="AD168" s="4" t="str">
        <f t="shared" si="26"/>
        <v>Medium risk</v>
      </c>
    </row>
    <row r="169" spans="1:30" x14ac:dyDescent="0.35">
      <c r="A169" s="4" t="s">
        <v>533</v>
      </c>
      <c r="B169" s="4" t="s">
        <v>534</v>
      </c>
      <c r="C169">
        <v>57</v>
      </c>
      <c r="D169" s="4" t="s">
        <v>73</v>
      </c>
      <c r="E169" s="4" t="s">
        <v>33</v>
      </c>
      <c r="F169" s="4" t="s">
        <v>117</v>
      </c>
      <c r="G169">
        <v>26</v>
      </c>
      <c r="H169">
        <v>154</v>
      </c>
      <c r="I169">
        <v>65</v>
      </c>
      <c r="J169">
        <v>215</v>
      </c>
      <c r="K169">
        <v>239</v>
      </c>
      <c r="L169" s="4" t="s">
        <v>100</v>
      </c>
      <c r="M169">
        <v>7</v>
      </c>
      <c r="N169">
        <v>4</v>
      </c>
      <c r="O169" s="4" t="s">
        <v>35</v>
      </c>
      <c r="P169" s="5">
        <v>44292</v>
      </c>
      <c r="Q169">
        <v>20</v>
      </c>
      <c r="R169">
        <v>9</v>
      </c>
      <c r="S169" s="4" t="s">
        <v>92</v>
      </c>
      <c r="T169" s="4" t="s">
        <v>100</v>
      </c>
      <c r="U169" t="str">
        <f t="shared" si="18"/>
        <v>Overweight</v>
      </c>
      <c r="V169" s="4" t="str">
        <f t="shared" si="19"/>
        <v>Aged</v>
      </c>
      <c r="W169" s="4" t="str">
        <f t="shared" si="20"/>
        <v>High Bp</v>
      </c>
      <c r="X169" s="4">
        <f t="shared" si="21"/>
        <v>1</v>
      </c>
      <c r="Y169" s="4">
        <f t="shared" si="22"/>
        <v>0</v>
      </c>
      <c r="Z169" s="4">
        <f t="shared" si="23"/>
        <v>0</v>
      </c>
      <c r="AA169" s="4">
        <f t="shared" si="24"/>
        <v>1</v>
      </c>
      <c r="AB169" s="4">
        <f t="shared" si="25"/>
        <v>1</v>
      </c>
      <c r="AC169" s="4">
        <f>SUM(Table1_2[[#This Row],[bp score]],Table1_2[[#This Row],[bmi score]],Table1_2[[#This Row],[Csmoking score]],Table1_2[[#This Row],[Condition score]],Table1_2[[#This Row],[Cholesterol score]],)</f>
        <v>3</v>
      </c>
      <c r="AD169" s="4" t="str">
        <f t="shared" si="26"/>
        <v>Medium risk</v>
      </c>
    </row>
    <row r="170" spans="1:30" x14ac:dyDescent="0.35">
      <c r="A170" s="4" t="s">
        <v>536</v>
      </c>
      <c r="B170" s="4" t="s">
        <v>537</v>
      </c>
      <c r="C170">
        <v>47</v>
      </c>
      <c r="D170" s="4" t="s">
        <v>73</v>
      </c>
      <c r="E170" s="4" t="s">
        <v>161</v>
      </c>
      <c r="F170" s="4" t="s">
        <v>57</v>
      </c>
      <c r="G170">
        <v>19.3</v>
      </c>
      <c r="H170">
        <v>169</v>
      </c>
      <c r="I170">
        <v>84</v>
      </c>
      <c r="J170">
        <v>187</v>
      </c>
      <c r="K170">
        <v>164</v>
      </c>
      <c r="L170" s="4" t="s">
        <v>860</v>
      </c>
      <c r="M170">
        <v>5</v>
      </c>
      <c r="N170">
        <v>3</v>
      </c>
      <c r="O170" s="4" t="s">
        <v>35</v>
      </c>
      <c r="P170" s="5">
        <v>44331</v>
      </c>
      <c r="Q170">
        <v>14</v>
      </c>
      <c r="R170">
        <v>8</v>
      </c>
      <c r="S170" s="4" t="s">
        <v>78</v>
      </c>
      <c r="T170" s="4" t="s">
        <v>863</v>
      </c>
      <c r="U170" t="str">
        <f t="shared" si="18"/>
        <v>Normal</v>
      </c>
      <c r="V170" s="4" t="str">
        <f t="shared" si="19"/>
        <v>Elder</v>
      </c>
      <c r="W170" s="4" t="str">
        <f t="shared" si="20"/>
        <v>High Bp</v>
      </c>
      <c r="X170" s="4">
        <f t="shared" si="21"/>
        <v>1</v>
      </c>
      <c r="Y170" s="4">
        <f t="shared" si="22"/>
        <v>0</v>
      </c>
      <c r="Z170" s="4">
        <f t="shared" si="23"/>
        <v>0</v>
      </c>
      <c r="AA170" s="4">
        <f t="shared" si="24"/>
        <v>0</v>
      </c>
      <c r="AB170" s="4">
        <f t="shared" si="25"/>
        <v>0</v>
      </c>
      <c r="AC170" s="4">
        <f>SUM(Table1_2[[#This Row],[bp score]],Table1_2[[#This Row],[bmi score]],Table1_2[[#This Row],[Csmoking score]],Table1_2[[#This Row],[Condition score]],Table1_2[[#This Row],[Cholesterol score]],)</f>
        <v>1</v>
      </c>
      <c r="AD170" s="4" t="str">
        <f t="shared" si="26"/>
        <v>Low risk</v>
      </c>
    </row>
    <row r="171" spans="1:30" x14ac:dyDescent="0.35">
      <c r="A171" s="4" t="s">
        <v>539</v>
      </c>
      <c r="B171" s="4" t="s">
        <v>372</v>
      </c>
      <c r="C171">
        <v>31</v>
      </c>
      <c r="D171" s="4" t="s">
        <v>73</v>
      </c>
      <c r="E171" s="4" t="s">
        <v>131</v>
      </c>
      <c r="F171" s="4" t="s">
        <v>117</v>
      </c>
      <c r="G171">
        <v>37.200000000000003</v>
      </c>
      <c r="H171">
        <v>152</v>
      </c>
      <c r="I171">
        <v>97</v>
      </c>
      <c r="J171">
        <v>198</v>
      </c>
      <c r="K171">
        <v>211</v>
      </c>
      <c r="L171" s="4" t="s">
        <v>859</v>
      </c>
      <c r="M171">
        <v>6</v>
      </c>
      <c r="N171">
        <v>9</v>
      </c>
      <c r="O171" s="4" t="s">
        <v>25</v>
      </c>
      <c r="P171" s="5">
        <v>45573</v>
      </c>
      <c r="Q171">
        <v>15</v>
      </c>
      <c r="R171">
        <v>9</v>
      </c>
      <c r="S171" s="4" t="s">
        <v>92</v>
      </c>
      <c r="T171" s="4" t="s">
        <v>100</v>
      </c>
      <c r="U171" t="str">
        <f t="shared" si="18"/>
        <v>Obese</v>
      </c>
      <c r="V171" s="4" t="str">
        <f t="shared" si="19"/>
        <v>Adult</v>
      </c>
      <c r="W171" s="4" t="str">
        <f t="shared" si="20"/>
        <v>High Bp</v>
      </c>
      <c r="X171" s="4">
        <f t="shared" si="21"/>
        <v>1</v>
      </c>
      <c r="Y171" s="4">
        <f t="shared" si="22"/>
        <v>1</v>
      </c>
      <c r="Z171" s="4">
        <f t="shared" si="23"/>
        <v>1</v>
      </c>
      <c r="AA171" s="4">
        <f t="shared" si="24"/>
        <v>1</v>
      </c>
      <c r="AB171" s="4">
        <f t="shared" si="25"/>
        <v>0</v>
      </c>
      <c r="AC171" s="4">
        <f>SUM(Table1_2[[#This Row],[bp score]],Table1_2[[#This Row],[bmi score]],Table1_2[[#This Row],[Csmoking score]],Table1_2[[#This Row],[Condition score]],Table1_2[[#This Row],[Cholesterol score]],)</f>
        <v>4</v>
      </c>
      <c r="AD171" s="4" t="str">
        <f t="shared" si="26"/>
        <v>High risk</v>
      </c>
    </row>
    <row r="172" spans="1:30" x14ac:dyDescent="0.35">
      <c r="A172" s="4" t="s">
        <v>541</v>
      </c>
      <c r="B172" s="4" t="s">
        <v>542</v>
      </c>
      <c r="C172">
        <v>58</v>
      </c>
      <c r="D172" s="4" t="s">
        <v>32</v>
      </c>
      <c r="E172" s="4" t="s">
        <v>131</v>
      </c>
      <c r="F172" s="4" t="s">
        <v>90</v>
      </c>
      <c r="G172">
        <v>21.3</v>
      </c>
      <c r="H172">
        <v>121</v>
      </c>
      <c r="I172">
        <v>73</v>
      </c>
      <c r="J172">
        <v>189</v>
      </c>
      <c r="K172">
        <v>102</v>
      </c>
      <c r="L172" s="4" t="s">
        <v>859</v>
      </c>
      <c r="M172">
        <v>6</v>
      </c>
      <c r="N172">
        <v>2</v>
      </c>
      <c r="O172" s="4" t="s">
        <v>25</v>
      </c>
      <c r="P172" s="5">
        <v>44870</v>
      </c>
      <c r="Q172">
        <v>19</v>
      </c>
      <c r="R172">
        <v>8</v>
      </c>
      <c r="S172" s="4" t="s">
        <v>78</v>
      </c>
      <c r="T172" s="4" t="s">
        <v>863</v>
      </c>
      <c r="U172" t="str">
        <f t="shared" si="18"/>
        <v>Normal</v>
      </c>
      <c r="V172" s="4" t="str">
        <f t="shared" si="19"/>
        <v>Aged</v>
      </c>
      <c r="W172" s="4" t="str">
        <f t="shared" si="20"/>
        <v>Elevated</v>
      </c>
      <c r="X172" s="4">
        <f t="shared" si="21"/>
        <v>0</v>
      </c>
      <c r="Y172" s="4">
        <f t="shared" si="22"/>
        <v>0</v>
      </c>
      <c r="Z172" s="4">
        <f t="shared" si="23"/>
        <v>1</v>
      </c>
      <c r="AA172" s="4">
        <f t="shared" si="24"/>
        <v>0</v>
      </c>
      <c r="AB172" s="4">
        <f t="shared" si="25"/>
        <v>0</v>
      </c>
      <c r="AC172" s="4">
        <f>SUM(Table1_2[[#This Row],[bp score]],Table1_2[[#This Row],[bmi score]],Table1_2[[#This Row],[Csmoking score]],Table1_2[[#This Row],[Condition score]],Table1_2[[#This Row],[Cholesterol score]],)</f>
        <v>1</v>
      </c>
      <c r="AD172" s="4" t="str">
        <f t="shared" si="26"/>
        <v>Low risk</v>
      </c>
    </row>
    <row r="173" spans="1:30" x14ac:dyDescent="0.35">
      <c r="A173" s="4" t="s">
        <v>544</v>
      </c>
      <c r="B173" s="4" t="s">
        <v>338</v>
      </c>
      <c r="C173">
        <v>57</v>
      </c>
      <c r="D173" s="4" t="s">
        <v>32</v>
      </c>
      <c r="E173" s="4" t="s">
        <v>131</v>
      </c>
      <c r="F173" s="4" t="s">
        <v>117</v>
      </c>
      <c r="G173">
        <v>38.4</v>
      </c>
      <c r="H173">
        <v>166</v>
      </c>
      <c r="I173">
        <v>89</v>
      </c>
      <c r="J173">
        <v>143</v>
      </c>
      <c r="K173">
        <v>249</v>
      </c>
      <c r="L173" s="4" t="s">
        <v>100</v>
      </c>
      <c r="M173">
        <v>0</v>
      </c>
      <c r="N173">
        <v>9</v>
      </c>
      <c r="O173" s="4" t="s">
        <v>25</v>
      </c>
      <c r="P173" s="5">
        <v>44382</v>
      </c>
      <c r="Q173">
        <v>4</v>
      </c>
      <c r="R173">
        <v>18</v>
      </c>
      <c r="S173" s="4" t="s">
        <v>46</v>
      </c>
      <c r="T173" s="4" t="s">
        <v>863</v>
      </c>
      <c r="U173" t="str">
        <f t="shared" si="18"/>
        <v>Obese</v>
      </c>
      <c r="V173" s="4" t="str">
        <f t="shared" si="19"/>
        <v>Aged</v>
      </c>
      <c r="W173" s="4" t="str">
        <f t="shared" si="20"/>
        <v>High Bp</v>
      </c>
      <c r="X173" s="4">
        <f t="shared" si="21"/>
        <v>1</v>
      </c>
      <c r="Y173" s="4">
        <f t="shared" si="22"/>
        <v>1</v>
      </c>
      <c r="Z173" s="4">
        <f t="shared" si="23"/>
        <v>0</v>
      </c>
      <c r="AA173" s="4">
        <f t="shared" si="24"/>
        <v>0</v>
      </c>
      <c r="AB173" s="4">
        <f t="shared" si="25"/>
        <v>0</v>
      </c>
      <c r="AC173" s="4">
        <f>SUM(Table1_2[[#This Row],[bp score]],Table1_2[[#This Row],[bmi score]],Table1_2[[#This Row],[Csmoking score]],Table1_2[[#This Row],[Condition score]],Table1_2[[#This Row],[Cholesterol score]],)</f>
        <v>2</v>
      </c>
      <c r="AD173" s="4" t="str">
        <f t="shared" si="26"/>
        <v>Medium risk</v>
      </c>
    </row>
    <row r="174" spans="1:30" x14ac:dyDescent="0.35">
      <c r="A174" s="4" t="s">
        <v>546</v>
      </c>
      <c r="B174" s="4" t="s">
        <v>547</v>
      </c>
      <c r="C174">
        <v>28</v>
      </c>
      <c r="D174" s="4" t="s">
        <v>32</v>
      </c>
      <c r="E174" s="4" t="s">
        <v>131</v>
      </c>
      <c r="F174" s="4" t="s">
        <v>117</v>
      </c>
      <c r="G174">
        <v>38.9</v>
      </c>
      <c r="H174">
        <v>133</v>
      </c>
      <c r="I174">
        <v>84</v>
      </c>
      <c r="J174">
        <v>264</v>
      </c>
      <c r="K174">
        <v>216</v>
      </c>
      <c r="L174" s="4" t="s">
        <v>100</v>
      </c>
      <c r="M174">
        <v>7</v>
      </c>
      <c r="N174">
        <v>1</v>
      </c>
      <c r="O174" s="4" t="s">
        <v>25</v>
      </c>
      <c r="P174" s="5">
        <v>45112</v>
      </c>
      <c r="Q174">
        <v>19</v>
      </c>
      <c r="R174">
        <v>19</v>
      </c>
      <c r="S174" s="4" t="s">
        <v>78</v>
      </c>
      <c r="T174" s="4" t="s">
        <v>100</v>
      </c>
      <c r="U174" t="str">
        <f t="shared" si="18"/>
        <v>Obese</v>
      </c>
      <c r="V174" s="4" t="str">
        <f t="shared" si="19"/>
        <v>Young adult</v>
      </c>
      <c r="W174" s="4" t="str">
        <f t="shared" si="20"/>
        <v>High Bp</v>
      </c>
      <c r="X174" s="4">
        <f t="shared" si="21"/>
        <v>1</v>
      </c>
      <c r="Y174" s="4">
        <f t="shared" si="22"/>
        <v>1</v>
      </c>
      <c r="Z174" s="4">
        <f t="shared" si="23"/>
        <v>0</v>
      </c>
      <c r="AA174" s="4">
        <f t="shared" si="24"/>
        <v>0</v>
      </c>
      <c r="AB174" s="4">
        <f t="shared" si="25"/>
        <v>1</v>
      </c>
      <c r="AC174" s="4">
        <f>SUM(Table1_2[[#This Row],[bp score]],Table1_2[[#This Row],[bmi score]],Table1_2[[#This Row],[Csmoking score]],Table1_2[[#This Row],[Condition score]],Table1_2[[#This Row],[Cholesterol score]],)</f>
        <v>3</v>
      </c>
      <c r="AD174" s="4" t="str">
        <f t="shared" si="26"/>
        <v>Medium risk</v>
      </c>
    </row>
    <row r="175" spans="1:30" x14ac:dyDescent="0.35">
      <c r="A175" s="4" t="s">
        <v>549</v>
      </c>
      <c r="B175" s="4" t="s">
        <v>359</v>
      </c>
      <c r="C175">
        <v>43</v>
      </c>
      <c r="D175" s="4" t="s">
        <v>73</v>
      </c>
      <c r="E175" s="4" t="s">
        <v>161</v>
      </c>
      <c r="F175" s="4" t="s">
        <v>90</v>
      </c>
      <c r="G175">
        <v>40</v>
      </c>
      <c r="H175">
        <v>147</v>
      </c>
      <c r="I175">
        <v>61</v>
      </c>
      <c r="J175">
        <v>226</v>
      </c>
      <c r="K175">
        <v>147</v>
      </c>
      <c r="L175" s="4" t="s">
        <v>859</v>
      </c>
      <c r="M175">
        <v>4</v>
      </c>
      <c r="N175">
        <v>8</v>
      </c>
      <c r="O175" s="4" t="s">
        <v>35</v>
      </c>
      <c r="P175" s="5">
        <v>44630</v>
      </c>
      <c r="Q175">
        <v>14</v>
      </c>
      <c r="R175">
        <v>10</v>
      </c>
      <c r="S175" s="4" t="s">
        <v>78</v>
      </c>
      <c r="T175" s="4" t="s">
        <v>100</v>
      </c>
      <c r="U175" t="str">
        <f t="shared" si="18"/>
        <v>Obese</v>
      </c>
      <c r="V175" s="4" t="str">
        <f t="shared" si="19"/>
        <v>Elder</v>
      </c>
      <c r="W175" s="4" t="str">
        <f t="shared" si="20"/>
        <v>High Bp</v>
      </c>
      <c r="X175" s="4">
        <f t="shared" si="21"/>
        <v>1</v>
      </c>
      <c r="Y175" s="4">
        <f t="shared" si="22"/>
        <v>1</v>
      </c>
      <c r="Z175" s="4">
        <f t="shared" si="23"/>
        <v>1</v>
      </c>
      <c r="AA175" s="4">
        <f t="shared" si="24"/>
        <v>0</v>
      </c>
      <c r="AB175" s="4">
        <f t="shared" si="25"/>
        <v>1</v>
      </c>
      <c r="AC175" s="4">
        <f>SUM(Table1_2[[#This Row],[bp score]],Table1_2[[#This Row],[bmi score]],Table1_2[[#This Row],[Csmoking score]],Table1_2[[#This Row],[Condition score]],Table1_2[[#This Row],[Cholesterol score]],)</f>
        <v>4</v>
      </c>
      <c r="AD175" s="4" t="str">
        <f t="shared" si="26"/>
        <v>High risk</v>
      </c>
    </row>
    <row r="176" spans="1:30" x14ac:dyDescent="0.35">
      <c r="A176" s="4" t="s">
        <v>551</v>
      </c>
      <c r="B176" s="4" t="s">
        <v>105</v>
      </c>
      <c r="C176">
        <v>34</v>
      </c>
      <c r="D176" s="4" t="s">
        <v>73</v>
      </c>
      <c r="E176" s="4" t="s">
        <v>23</v>
      </c>
      <c r="F176" s="4" t="s">
        <v>82</v>
      </c>
      <c r="G176">
        <v>35.5</v>
      </c>
      <c r="H176">
        <v>166</v>
      </c>
      <c r="I176">
        <v>83</v>
      </c>
      <c r="J176">
        <v>154</v>
      </c>
      <c r="K176">
        <v>201</v>
      </c>
      <c r="L176" s="4" t="s">
        <v>860</v>
      </c>
      <c r="M176">
        <v>1</v>
      </c>
      <c r="N176">
        <v>5</v>
      </c>
      <c r="O176" s="4" t="s">
        <v>25</v>
      </c>
      <c r="P176" s="5">
        <v>44823</v>
      </c>
      <c r="Q176">
        <v>0</v>
      </c>
      <c r="R176">
        <v>5</v>
      </c>
      <c r="S176" s="4" t="s">
        <v>78</v>
      </c>
      <c r="T176" s="4" t="s">
        <v>862</v>
      </c>
      <c r="U176" t="str">
        <f t="shared" si="18"/>
        <v>Obese</v>
      </c>
      <c r="V176" s="4" t="str">
        <f t="shared" si="19"/>
        <v>Adult</v>
      </c>
      <c r="W176" s="4" t="str">
        <f t="shared" si="20"/>
        <v>High Bp</v>
      </c>
      <c r="X176" s="4">
        <f t="shared" si="21"/>
        <v>1</v>
      </c>
      <c r="Y176" s="4">
        <f t="shared" si="22"/>
        <v>1</v>
      </c>
      <c r="Z176" s="4">
        <f t="shared" si="23"/>
        <v>0</v>
      </c>
      <c r="AA176" s="4">
        <f t="shared" si="24"/>
        <v>0</v>
      </c>
      <c r="AB176" s="4">
        <f t="shared" si="25"/>
        <v>0</v>
      </c>
      <c r="AC176" s="4">
        <f>SUM(Table1_2[[#This Row],[bp score]],Table1_2[[#This Row],[bmi score]],Table1_2[[#This Row],[Csmoking score]],Table1_2[[#This Row],[Condition score]],Table1_2[[#This Row],[Cholesterol score]],)</f>
        <v>2</v>
      </c>
      <c r="AD176" s="4" t="str">
        <f t="shared" si="26"/>
        <v>Medium risk</v>
      </c>
    </row>
    <row r="177" spans="1:30" x14ac:dyDescent="0.35">
      <c r="A177" s="4" t="s">
        <v>553</v>
      </c>
      <c r="B177" s="4" t="s">
        <v>554</v>
      </c>
      <c r="C177">
        <v>24</v>
      </c>
      <c r="D177" s="4" t="s">
        <v>73</v>
      </c>
      <c r="E177" s="4" t="s">
        <v>161</v>
      </c>
      <c r="F177" s="4" t="s">
        <v>117</v>
      </c>
      <c r="G177">
        <v>34.6</v>
      </c>
      <c r="H177">
        <v>135</v>
      </c>
      <c r="I177">
        <v>83</v>
      </c>
      <c r="J177">
        <v>258</v>
      </c>
      <c r="K177">
        <v>199</v>
      </c>
      <c r="L177" s="4" t="s">
        <v>860</v>
      </c>
      <c r="M177">
        <v>7</v>
      </c>
      <c r="N177">
        <v>2</v>
      </c>
      <c r="O177" s="4" t="s">
        <v>25</v>
      </c>
      <c r="P177" s="5">
        <v>44728</v>
      </c>
      <c r="Q177">
        <v>19</v>
      </c>
      <c r="R177">
        <v>14</v>
      </c>
      <c r="S177" s="4" t="s">
        <v>60</v>
      </c>
      <c r="T177" s="4" t="s">
        <v>100</v>
      </c>
      <c r="U177" t="str">
        <f t="shared" si="18"/>
        <v>Obese</v>
      </c>
      <c r="V177" s="4" t="str">
        <f t="shared" si="19"/>
        <v>Young adult</v>
      </c>
      <c r="W177" s="4" t="str">
        <f t="shared" si="20"/>
        <v>High Bp</v>
      </c>
      <c r="X177" s="4">
        <f t="shared" si="21"/>
        <v>1</v>
      </c>
      <c r="Y177" s="4">
        <f t="shared" si="22"/>
        <v>1</v>
      </c>
      <c r="Z177" s="4">
        <f t="shared" si="23"/>
        <v>0</v>
      </c>
      <c r="AA177" s="4">
        <f t="shared" si="24"/>
        <v>1</v>
      </c>
      <c r="AB177" s="4">
        <f t="shared" si="25"/>
        <v>1</v>
      </c>
      <c r="AC177" s="4">
        <f>SUM(Table1_2[[#This Row],[bp score]],Table1_2[[#This Row],[bmi score]],Table1_2[[#This Row],[Csmoking score]],Table1_2[[#This Row],[Condition score]],Table1_2[[#This Row],[Cholesterol score]],)</f>
        <v>4</v>
      </c>
      <c r="AD177" s="4" t="str">
        <f t="shared" si="26"/>
        <v>High risk</v>
      </c>
    </row>
    <row r="178" spans="1:30" x14ac:dyDescent="0.35">
      <c r="A178" s="4" t="s">
        <v>556</v>
      </c>
      <c r="B178" s="4" t="s">
        <v>557</v>
      </c>
      <c r="C178">
        <v>44</v>
      </c>
      <c r="D178" s="4" t="s">
        <v>73</v>
      </c>
      <c r="E178" s="4" t="s">
        <v>33</v>
      </c>
      <c r="F178" s="4" t="s">
        <v>57</v>
      </c>
      <c r="G178">
        <v>35.700000000000003</v>
      </c>
      <c r="H178">
        <v>111</v>
      </c>
      <c r="I178">
        <v>78</v>
      </c>
      <c r="J178">
        <v>147</v>
      </c>
      <c r="K178">
        <v>168</v>
      </c>
      <c r="L178" s="4" t="s">
        <v>859</v>
      </c>
      <c r="M178">
        <v>2</v>
      </c>
      <c r="N178">
        <v>10</v>
      </c>
      <c r="O178" s="4" t="s">
        <v>35</v>
      </c>
      <c r="P178" s="5">
        <v>44873</v>
      </c>
      <c r="Q178">
        <v>6</v>
      </c>
      <c r="R178">
        <v>8</v>
      </c>
      <c r="S178" s="4" t="s">
        <v>78</v>
      </c>
      <c r="T178" s="4" t="s">
        <v>100</v>
      </c>
      <c r="U178" t="str">
        <f t="shared" si="18"/>
        <v>Obese</v>
      </c>
      <c r="V178" s="4" t="str">
        <f t="shared" si="19"/>
        <v>Elder</v>
      </c>
      <c r="W178" s="4" t="str">
        <f t="shared" si="20"/>
        <v>Normal</v>
      </c>
      <c r="X178" s="4">
        <f t="shared" si="21"/>
        <v>0</v>
      </c>
      <c r="Y178" s="4">
        <f t="shared" si="22"/>
        <v>1</v>
      </c>
      <c r="Z178" s="4">
        <f t="shared" si="23"/>
        <v>1</v>
      </c>
      <c r="AA178" s="4">
        <f t="shared" si="24"/>
        <v>0</v>
      </c>
      <c r="AB178" s="4">
        <f t="shared" si="25"/>
        <v>0</v>
      </c>
      <c r="AC178" s="4">
        <f>SUM(Table1_2[[#This Row],[bp score]],Table1_2[[#This Row],[bmi score]],Table1_2[[#This Row],[Csmoking score]],Table1_2[[#This Row],[Condition score]],Table1_2[[#This Row],[Cholesterol score]],)</f>
        <v>2</v>
      </c>
      <c r="AD178" s="4" t="str">
        <f t="shared" si="26"/>
        <v>Medium risk</v>
      </c>
    </row>
    <row r="179" spans="1:30" x14ac:dyDescent="0.35">
      <c r="A179" s="4" t="s">
        <v>558</v>
      </c>
      <c r="B179" s="4" t="s">
        <v>559</v>
      </c>
      <c r="C179">
        <v>22</v>
      </c>
      <c r="D179" s="4" t="s">
        <v>73</v>
      </c>
      <c r="E179" s="4" t="s">
        <v>33</v>
      </c>
      <c r="F179" s="4" t="s">
        <v>24</v>
      </c>
      <c r="G179">
        <v>32</v>
      </c>
      <c r="H179">
        <v>101</v>
      </c>
      <c r="I179">
        <v>74</v>
      </c>
      <c r="J179">
        <v>204</v>
      </c>
      <c r="K179">
        <v>225</v>
      </c>
      <c r="L179" s="4" t="s">
        <v>859</v>
      </c>
      <c r="M179">
        <v>7</v>
      </c>
      <c r="N179">
        <v>5</v>
      </c>
      <c r="O179" s="4" t="s">
        <v>25</v>
      </c>
      <c r="P179" s="5">
        <v>45458</v>
      </c>
      <c r="Q179">
        <v>8</v>
      </c>
      <c r="R179">
        <v>6</v>
      </c>
      <c r="S179" s="4" t="s">
        <v>92</v>
      </c>
      <c r="T179" s="4" t="s">
        <v>863</v>
      </c>
      <c r="U179" t="str">
        <f t="shared" si="18"/>
        <v>Obese</v>
      </c>
      <c r="V179" s="4" t="str">
        <f t="shared" si="19"/>
        <v>Young adult</v>
      </c>
      <c r="W179" s="4" t="str">
        <f t="shared" si="20"/>
        <v>Normal</v>
      </c>
      <c r="X179" s="4">
        <f t="shared" si="21"/>
        <v>0</v>
      </c>
      <c r="Y179" s="4">
        <f t="shared" si="22"/>
        <v>1</v>
      </c>
      <c r="Z179" s="4">
        <f t="shared" si="23"/>
        <v>1</v>
      </c>
      <c r="AA179" s="4">
        <f t="shared" si="24"/>
        <v>1</v>
      </c>
      <c r="AB179" s="4">
        <f t="shared" si="25"/>
        <v>1</v>
      </c>
      <c r="AC179" s="4">
        <f>SUM(Table1_2[[#This Row],[bp score]],Table1_2[[#This Row],[bmi score]],Table1_2[[#This Row],[Csmoking score]],Table1_2[[#This Row],[Condition score]],Table1_2[[#This Row],[Cholesterol score]],)</f>
        <v>4</v>
      </c>
      <c r="AD179" s="4" t="str">
        <f t="shared" si="26"/>
        <v>High risk</v>
      </c>
    </row>
    <row r="180" spans="1:30" x14ac:dyDescent="0.35">
      <c r="A180" s="4" t="s">
        <v>561</v>
      </c>
      <c r="B180" s="4" t="s">
        <v>562</v>
      </c>
      <c r="C180">
        <v>47</v>
      </c>
      <c r="D180" s="4" t="s">
        <v>73</v>
      </c>
      <c r="E180" s="4" t="s">
        <v>161</v>
      </c>
      <c r="F180" s="4" t="s">
        <v>75</v>
      </c>
      <c r="G180">
        <v>42</v>
      </c>
      <c r="H180">
        <v>147</v>
      </c>
      <c r="I180">
        <v>95</v>
      </c>
      <c r="J180">
        <v>212</v>
      </c>
      <c r="K180">
        <v>146</v>
      </c>
      <c r="L180" s="4" t="s">
        <v>860</v>
      </c>
      <c r="M180">
        <v>7</v>
      </c>
      <c r="N180">
        <v>2</v>
      </c>
      <c r="O180" s="4" t="s">
        <v>35</v>
      </c>
      <c r="P180" s="5">
        <v>45241</v>
      </c>
      <c r="Q180">
        <v>8</v>
      </c>
      <c r="R180">
        <v>8</v>
      </c>
      <c r="S180" s="4" t="s">
        <v>78</v>
      </c>
      <c r="T180" s="4" t="s">
        <v>863</v>
      </c>
      <c r="U180" t="str">
        <f t="shared" si="18"/>
        <v>Obese</v>
      </c>
      <c r="V180" s="4" t="str">
        <f t="shared" si="19"/>
        <v>Elder</v>
      </c>
      <c r="W180" s="4" t="str">
        <f t="shared" si="20"/>
        <v>High Bp</v>
      </c>
      <c r="X180" s="4">
        <f t="shared" si="21"/>
        <v>1</v>
      </c>
      <c r="Y180" s="4">
        <f t="shared" si="22"/>
        <v>1</v>
      </c>
      <c r="Z180" s="4">
        <f t="shared" si="23"/>
        <v>0</v>
      </c>
      <c r="AA180" s="4">
        <f t="shared" si="24"/>
        <v>0</v>
      </c>
      <c r="AB180" s="4">
        <f t="shared" si="25"/>
        <v>1</v>
      </c>
      <c r="AC180" s="4">
        <f>SUM(Table1_2[[#This Row],[bp score]],Table1_2[[#This Row],[bmi score]],Table1_2[[#This Row],[Csmoking score]],Table1_2[[#This Row],[Condition score]],Table1_2[[#This Row],[Cholesterol score]],)</f>
        <v>3</v>
      </c>
      <c r="AD180" s="4" t="str">
        <f t="shared" si="26"/>
        <v>Medium risk</v>
      </c>
    </row>
    <row r="181" spans="1:30" x14ac:dyDescent="0.35">
      <c r="A181" s="4" t="s">
        <v>564</v>
      </c>
      <c r="B181" s="4" t="s">
        <v>565</v>
      </c>
      <c r="C181">
        <v>55</v>
      </c>
      <c r="D181" s="4" t="s">
        <v>73</v>
      </c>
      <c r="E181" s="4" t="s">
        <v>161</v>
      </c>
      <c r="F181" s="4" t="s">
        <v>66</v>
      </c>
      <c r="G181">
        <v>27.1</v>
      </c>
      <c r="H181">
        <v>140</v>
      </c>
      <c r="I181">
        <v>103</v>
      </c>
      <c r="J181">
        <v>175</v>
      </c>
      <c r="K181">
        <v>76</v>
      </c>
      <c r="L181" s="4" t="s">
        <v>859</v>
      </c>
      <c r="M181">
        <v>4</v>
      </c>
      <c r="N181">
        <v>0</v>
      </c>
      <c r="O181" s="4" t="s">
        <v>25</v>
      </c>
      <c r="P181" s="5">
        <v>44941</v>
      </c>
      <c r="Q181">
        <v>0</v>
      </c>
      <c r="R181">
        <v>18</v>
      </c>
      <c r="S181" s="4" t="s">
        <v>78</v>
      </c>
      <c r="T181" s="4" t="s">
        <v>862</v>
      </c>
      <c r="U181" t="str">
        <f t="shared" si="18"/>
        <v>Overweight</v>
      </c>
      <c r="V181" s="4" t="str">
        <f t="shared" si="19"/>
        <v>Aged</v>
      </c>
      <c r="W181" s="4" t="str">
        <f t="shared" si="20"/>
        <v>High Bp</v>
      </c>
      <c r="X181" s="4">
        <f t="shared" si="21"/>
        <v>1</v>
      </c>
      <c r="Y181" s="4">
        <f t="shared" si="22"/>
        <v>0</v>
      </c>
      <c r="Z181" s="4">
        <f t="shared" si="23"/>
        <v>1</v>
      </c>
      <c r="AA181" s="4">
        <f t="shared" si="24"/>
        <v>0</v>
      </c>
      <c r="AB181" s="4">
        <f t="shared" si="25"/>
        <v>0</v>
      </c>
      <c r="AC181" s="4">
        <f>SUM(Table1_2[[#This Row],[bp score]],Table1_2[[#This Row],[bmi score]],Table1_2[[#This Row],[Csmoking score]],Table1_2[[#This Row],[Condition score]],Table1_2[[#This Row],[Cholesterol score]],)</f>
        <v>2</v>
      </c>
      <c r="AD181" s="4" t="str">
        <f t="shared" si="26"/>
        <v>Medium risk</v>
      </c>
    </row>
    <row r="182" spans="1:30" x14ac:dyDescent="0.35">
      <c r="A182" s="4" t="s">
        <v>566</v>
      </c>
      <c r="B182" s="4" t="s">
        <v>189</v>
      </c>
      <c r="C182">
        <v>44</v>
      </c>
      <c r="D182" s="4" t="s">
        <v>32</v>
      </c>
      <c r="E182" s="4" t="s">
        <v>33</v>
      </c>
      <c r="F182" s="4" t="s">
        <v>75</v>
      </c>
      <c r="G182">
        <v>21.5</v>
      </c>
      <c r="H182">
        <v>112</v>
      </c>
      <c r="I182">
        <v>90</v>
      </c>
      <c r="J182">
        <v>172</v>
      </c>
      <c r="K182">
        <v>136</v>
      </c>
      <c r="L182" s="4" t="s">
        <v>860</v>
      </c>
      <c r="M182">
        <v>2</v>
      </c>
      <c r="N182">
        <v>6</v>
      </c>
      <c r="O182" s="4" t="s">
        <v>35</v>
      </c>
      <c r="P182" s="5">
        <v>44720</v>
      </c>
      <c r="Q182">
        <v>9</v>
      </c>
      <c r="R182">
        <v>13</v>
      </c>
      <c r="S182" s="4" t="s">
        <v>78</v>
      </c>
      <c r="T182" s="4" t="s">
        <v>864</v>
      </c>
      <c r="U182" t="str">
        <f t="shared" si="18"/>
        <v>Normal</v>
      </c>
      <c r="V182" s="4" t="str">
        <f t="shared" si="19"/>
        <v>Elder</v>
      </c>
      <c r="W182" s="4" t="str">
        <f t="shared" si="20"/>
        <v>High Bp</v>
      </c>
      <c r="X182" s="4">
        <f t="shared" si="21"/>
        <v>1</v>
      </c>
      <c r="Y182" s="4">
        <f t="shared" si="22"/>
        <v>0</v>
      </c>
      <c r="Z182" s="4">
        <f t="shared" si="23"/>
        <v>0</v>
      </c>
      <c r="AA182" s="4">
        <f t="shared" si="24"/>
        <v>0</v>
      </c>
      <c r="AB182" s="4">
        <f t="shared" si="25"/>
        <v>0</v>
      </c>
      <c r="AC182" s="4">
        <f>SUM(Table1_2[[#This Row],[bp score]],Table1_2[[#This Row],[bmi score]],Table1_2[[#This Row],[Csmoking score]],Table1_2[[#This Row],[Condition score]],Table1_2[[#This Row],[Cholesterol score]],)</f>
        <v>1</v>
      </c>
      <c r="AD182" s="4" t="str">
        <f t="shared" si="26"/>
        <v>Low risk</v>
      </c>
    </row>
    <row r="183" spans="1:30" x14ac:dyDescent="0.35">
      <c r="A183" s="4" t="s">
        <v>568</v>
      </c>
      <c r="B183" s="4" t="s">
        <v>174</v>
      </c>
      <c r="C183">
        <v>40</v>
      </c>
      <c r="D183" s="4" t="s">
        <v>73</v>
      </c>
      <c r="E183" s="4" t="s">
        <v>131</v>
      </c>
      <c r="F183" s="4" t="s">
        <v>90</v>
      </c>
      <c r="G183">
        <v>18.3</v>
      </c>
      <c r="H183">
        <v>109</v>
      </c>
      <c r="I183">
        <v>90</v>
      </c>
      <c r="J183">
        <v>189</v>
      </c>
      <c r="K183">
        <v>198</v>
      </c>
      <c r="L183" s="4" t="s">
        <v>860</v>
      </c>
      <c r="M183">
        <v>7</v>
      </c>
      <c r="N183">
        <v>7</v>
      </c>
      <c r="O183" s="4" t="s">
        <v>25</v>
      </c>
      <c r="P183" s="5">
        <v>45319</v>
      </c>
      <c r="Q183">
        <v>4</v>
      </c>
      <c r="R183">
        <v>4</v>
      </c>
      <c r="S183" s="4" t="s">
        <v>78</v>
      </c>
      <c r="T183" s="4" t="s">
        <v>864</v>
      </c>
      <c r="U183" t="str">
        <f t="shared" si="18"/>
        <v>Underweight</v>
      </c>
      <c r="V183" s="4" t="str">
        <f t="shared" si="19"/>
        <v>Adult</v>
      </c>
      <c r="W183" s="4" t="str">
        <f t="shared" si="20"/>
        <v>High Bp</v>
      </c>
      <c r="X183" s="4">
        <f t="shared" si="21"/>
        <v>1</v>
      </c>
      <c r="Y183" s="4">
        <f t="shared" si="22"/>
        <v>0</v>
      </c>
      <c r="Z183" s="4">
        <f t="shared" si="23"/>
        <v>0</v>
      </c>
      <c r="AA183" s="4">
        <f t="shared" si="24"/>
        <v>0</v>
      </c>
      <c r="AB183" s="4">
        <f t="shared" si="25"/>
        <v>0</v>
      </c>
      <c r="AC183" s="4">
        <f>SUM(Table1_2[[#This Row],[bp score]],Table1_2[[#This Row],[bmi score]],Table1_2[[#This Row],[Csmoking score]],Table1_2[[#This Row],[Condition score]],Table1_2[[#This Row],[Cholesterol score]],)</f>
        <v>1</v>
      </c>
      <c r="AD183" s="4" t="str">
        <f t="shared" si="26"/>
        <v>Low risk</v>
      </c>
    </row>
    <row r="184" spans="1:30" x14ac:dyDescent="0.35">
      <c r="A184" s="4" t="s">
        <v>570</v>
      </c>
      <c r="B184" s="4" t="s">
        <v>571</v>
      </c>
      <c r="C184">
        <v>51</v>
      </c>
      <c r="D184" s="4" t="s">
        <v>32</v>
      </c>
      <c r="E184" s="4" t="s">
        <v>127</v>
      </c>
      <c r="F184" s="4" t="s">
        <v>24</v>
      </c>
      <c r="G184">
        <v>36.5</v>
      </c>
      <c r="H184">
        <v>162</v>
      </c>
      <c r="I184">
        <v>81</v>
      </c>
      <c r="J184">
        <v>185</v>
      </c>
      <c r="K184">
        <v>150</v>
      </c>
      <c r="L184" s="4" t="s">
        <v>859</v>
      </c>
      <c r="M184">
        <v>0</v>
      </c>
      <c r="N184">
        <v>8</v>
      </c>
      <c r="O184" s="4" t="s">
        <v>25</v>
      </c>
      <c r="P184" s="5">
        <v>44639</v>
      </c>
      <c r="Q184">
        <v>5</v>
      </c>
      <c r="R184">
        <v>15</v>
      </c>
      <c r="S184" s="4" t="s">
        <v>92</v>
      </c>
      <c r="T184" s="4" t="s">
        <v>864</v>
      </c>
      <c r="U184" t="str">
        <f t="shared" si="18"/>
        <v>Obese</v>
      </c>
      <c r="V184" s="4" t="str">
        <f t="shared" si="19"/>
        <v>Aged</v>
      </c>
      <c r="W184" s="4" t="str">
        <f t="shared" si="20"/>
        <v>High Bp</v>
      </c>
      <c r="X184" s="4">
        <f t="shared" si="21"/>
        <v>1</v>
      </c>
      <c r="Y184" s="4">
        <f t="shared" si="22"/>
        <v>1</v>
      </c>
      <c r="Z184" s="4">
        <f t="shared" si="23"/>
        <v>1</v>
      </c>
      <c r="AA184" s="4">
        <f t="shared" si="24"/>
        <v>1</v>
      </c>
      <c r="AB184" s="4">
        <f t="shared" si="25"/>
        <v>0</v>
      </c>
      <c r="AC184" s="4">
        <f>SUM(Table1_2[[#This Row],[bp score]],Table1_2[[#This Row],[bmi score]],Table1_2[[#This Row],[Csmoking score]],Table1_2[[#This Row],[Condition score]],Table1_2[[#This Row],[Cholesterol score]],)</f>
        <v>4</v>
      </c>
      <c r="AD184" s="4" t="str">
        <f t="shared" si="26"/>
        <v>High risk</v>
      </c>
    </row>
    <row r="185" spans="1:30" x14ac:dyDescent="0.35">
      <c r="A185" s="4" t="s">
        <v>573</v>
      </c>
      <c r="B185" s="4" t="s">
        <v>310</v>
      </c>
      <c r="C185">
        <v>62</v>
      </c>
      <c r="D185" s="4" t="s">
        <v>32</v>
      </c>
      <c r="E185" s="4" t="s">
        <v>65</v>
      </c>
      <c r="F185" s="4" t="s">
        <v>82</v>
      </c>
      <c r="G185">
        <v>41.1</v>
      </c>
      <c r="H185">
        <v>149</v>
      </c>
      <c r="I185">
        <v>60</v>
      </c>
      <c r="J185">
        <v>149</v>
      </c>
      <c r="K185">
        <v>206</v>
      </c>
      <c r="L185" s="4" t="s">
        <v>861</v>
      </c>
      <c r="M185">
        <v>5</v>
      </c>
      <c r="N185">
        <v>1</v>
      </c>
      <c r="O185" s="4" t="s">
        <v>35</v>
      </c>
      <c r="P185" s="5">
        <v>44583</v>
      </c>
      <c r="Q185">
        <v>0</v>
      </c>
      <c r="R185">
        <v>20</v>
      </c>
      <c r="S185" s="4" t="s">
        <v>78</v>
      </c>
      <c r="T185" s="4" t="s">
        <v>862</v>
      </c>
      <c r="U185" t="str">
        <f t="shared" si="18"/>
        <v>Obese</v>
      </c>
      <c r="V185" s="4" t="str">
        <f t="shared" si="19"/>
        <v>Aged</v>
      </c>
      <c r="W185" s="4" t="str">
        <f t="shared" si="20"/>
        <v>High Bp</v>
      </c>
      <c r="X185" s="4">
        <f t="shared" si="21"/>
        <v>1</v>
      </c>
      <c r="Y185" s="4">
        <f t="shared" si="22"/>
        <v>1</v>
      </c>
      <c r="Z185" s="4">
        <f t="shared" si="23"/>
        <v>0</v>
      </c>
      <c r="AA185" s="4">
        <f t="shared" si="24"/>
        <v>0</v>
      </c>
      <c r="AB185" s="4">
        <f t="shared" si="25"/>
        <v>0</v>
      </c>
      <c r="AC185" s="4">
        <f>SUM(Table1_2[[#This Row],[bp score]],Table1_2[[#This Row],[bmi score]],Table1_2[[#This Row],[Csmoking score]],Table1_2[[#This Row],[Condition score]],Table1_2[[#This Row],[Cholesterol score]],)</f>
        <v>2</v>
      </c>
      <c r="AD185" s="4" t="str">
        <f t="shared" si="26"/>
        <v>Medium risk</v>
      </c>
    </row>
    <row r="186" spans="1:30" x14ac:dyDescent="0.35">
      <c r="A186" s="4" t="s">
        <v>575</v>
      </c>
      <c r="B186" s="4" t="s">
        <v>576</v>
      </c>
      <c r="C186">
        <v>30</v>
      </c>
      <c r="D186" s="4" t="s">
        <v>73</v>
      </c>
      <c r="E186" s="4" t="s">
        <v>65</v>
      </c>
      <c r="F186" s="4" t="s">
        <v>75</v>
      </c>
      <c r="G186">
        <v>31.7</v>
      </c>
      <c r="H186">
        <v>121</v>
      </c>
      <c r="I186">
        <v>64</v>
      </c>
      <c r="J186">
        <v>151</v>
      </c>
      <c r="K186">
        <v>146</v>
      </c>
      <c r="L186" s="4" t="s">
        <v>859</v>
      </c>
      <c r="M186">
        <v>7</v>
      </c>
      <c r="N186">
        <v>9</v>
      </c>
      <c r="O186" s="4" t="s">
        <v>35</v>
      </c>
      <c r="P186" s="5">
        <v>45601</v>
      </c>
      <c r="Q186">
        <v>10</v>
      </c>
      <c r="R186">
        <v>15</v>
      </c>
      <c r="S186" s="4" t="s">
        <v>78</v>
      </c>
      <c r="T186" s="4" t="s">
        <v>862</v>
      </c>
      <c r="U186" t="str">
        <f t="shared" si="18"/>
        <v>Obese</v>
      </c>
      <c r="V186" s="4" t="str">
        <f t="shared" si="19"/>
        <v>Young adult</v>
      </c>
      <c r="W186" s="4" t="str">
        <f t="shared" si="20"/>
        <v>Elevated</v>
      </c>
      <c r="X186" s="4">
        <f t="shared" si="21"/>
        <v>0</v>
      </c>
      <c r="Y186" s="4">
        <f t="shared" si="22"/>
        <v>1</v>
      </c>
      <c r="Z186" s="4">
        <f t="shared" si="23"/>
        <v>1</v>
      </c>
      <c r="AA186" s="4">
        <f t="shared" si="24"/>
        <v>0</v>
      </c>
      <c r="AB186" s="4">
        <f t="shared" si="25"/>
        <v>0</v>
      </c>
      <c r="AC186" s="4">
        <f>SUM(Table1_2[[#This Row],[bp score]],Table1_2[[#This Row],[bmi score]],Table1_2[[#This Row],[Csmoking score]],Table1_2[[#This Row],[Condition score]],Table1_2[[#This Row],[Cholesterol score]],)</f>
        <v>2</v>
      </c>
      <c r="AD186" s="4" t="str">
        <f t="shared" si="26"/>
        <v>Medium risk</v>
      </c>
    </row>
    <row r="187" spans="1:30" x14ac:dyDescent="0.35">
      <c r="A187" s="4" t="s">
        <v>577</v>
      </c>
      <c r="B187" s="4" t="s">
        <v>578</v>
      </c>
      <c r="C187">
        <v>23</v>
      </c>
      <c r="D187" s="4" t="s">
        <v>73</v>
      </c>
      <c r="E187" s="4" t="s">
        <v>23</v>
      </c>
      <c r="F187" s="4" t="s">
        <v>24</v>
      </c>
      <c r="G187">
        <v>22.3</v>
      </c>
      <c r="H187">
        <v>102</v>
      </c>
      <c r="I187">
        <v>97</v>
      </c>
      <c r="J187">
        <v>269</v>
      </c>
      <c r="K187">
        <v>113</v>
      </c>
      <c r="L187" s="4" t="s">
        <v>860</v>
      </c>
      <c r="M187">
        <v>5</v>
      </c>
      <c r="N187">
        <v>1</v>
      </c>
      <c r="O187" s="4" t="s">
        <v>25</v>
      </c>
      <c r="P187" s="5">
        <v>45189</v>
      </c>
      <c r="Q187">
        <v>1</v>
      </c>
      <c r="R187">
        <v>19</v>
      </c>
      <c r="S187" s="4" t="s">
        <v>99</v>
      </c>
      <c r="T187" s="4" t="s">
        <v>863</v>
      </c>
      <c r="U187" t="str">
        <f t="shared" si="18"/>
        <v>Normal</v>
      </c>
      <c r="V187" s="4" t="str">
        <f t="shared" si="19"/>
        <v>Young adult</v>
      </c>
      <c r="W187" s="4" t="str">
        <f t="shared" si="20"/>
        <v>High Bp</v>
      </c>
      <c r="X187" s="4">
        <f t="shared" si="21"/>
        <v>1</v>
      </c>
      <c r="Y187" s="4">
        <f t="shared" si="22"/>
        <v>0</v>
      </c>
      <c r="Z187" s="4">
        <f t="shared" si="23"/>
        <v>0</v>
      </c>
      <c r="AA187" s="4">
        <f t="shared" si="24"/>
        <v>1</v>
      </c>
      <c r="AB187" s="4">
        <f t="shared" si="25"/>
        <v>1</v>
      </c>
      <c r="AC187" s="4">
        <f>SUM(Table1_2[[#This Row],[bp score]],Table1_2[[#This Row],[bmi score]],Table1_2[[#This Row],[Csmoking score]],Table1_2[[#This Row],[Condition score]],Table1_2[[#This Row],[Cholesterol score]],)</f>
        <v>3</v>
      </c>
      <c r="AD187" s="4" t="str">
        <f t="shared" si="26"/>
        <v>Medium risk</v>
      </c>
    </row>
    <row r="188" spans="1:30" x14ac:dyDescent="0.35">
      <c r="A188" s="4" t="s">
        <v>580</v>
      </c>
      <c r="B188" s="4" t="s">
        <v>581</v>
      </c>
      <c r="C188">
        <v>29</v>
      </c>
      <c r="D188" s="4" t="s">
        <v>32</v>
      </c>
      <c r="E188" s="4" t="s">
        <v>161</v>
      </c>
      <c r="F188" s="4" t="s">
        <v>82</v>
      </c>
      <c r="G188">
        <v>20.100000000000001</v>
      </c>
      <c r="H188">
        <v>132</v>
      </c>
      <c r="I188">
        <v>90</v>
      </c>
      <c r="J188">
        <v>179</v>
      </c>
      <c r="K188">
        <v>122</v>
      </c>
      <c r="L188" s="4" t="s">
        <v>859</v>
      </c>
      <c r="M188">
        <v>4</v>
      </c>
      <c r="N188">
        <v>7</v>
      </c>
      <c r="O188" s="4" t="s">
        <v>35</v>
      </c>
      <c r="P188" s="5">
        <v>45219</v>
      </c>
      <c r="Q188">
        <v>4</v>
      </c>
      <c r="R188">
        <v>13</v>
      </c>
      <c r="S188" s="4" t="s">
        <v>92</v>
      </c>
      <c r="T188" s="4" t="s">
        <v>100</v>
      </c>
      <c r="U188" t="str">
        <f t="shared" si="18"/>
        <v>Normal</v>
      </c>
      <c r="V188" s="4" t="str">
        <f t="shared" si="19"/>
        <v>Young adult</v>
      </c>
      <c r="W188" s="4" t="str">
        <f t="shared" si="20"/>
        <v>High Bp</v>
      </c>
      <c r="X188" s="4">
        <f t="shared" si="21"/>
        <v>1</v>
      </c>
      <c r="Y188" s="4">
        <f t="shared" si="22"/>
        <v>0</v>
      </c>
      <c r="Z188" s="4">
        <f t="shared" si="23"/>
        <v>1</v>
      </c>
      <c r="AA188" s="4">
        <f t="shared" si="24"/>
        <v>1</v>
      </c>
      <c r="AB188" s="4">
        <f t="shared" si="25"/>
        <v>0</v>
      </c>
      <c r="AC188" s="4">
        <f>SUM(Table1_2[[#This Row],[bp score]],Table1_2[[#This Row],[bmi score]],Table1_2[[#This Row],[Csmoking score]],Table1_2[[#This Row],[Condition score]],Table1_2[[#This Row],[Cholesterol score]],)</f>
        <v>3</v>
      </c>
      <c r="AD188" s="4" t="str">
        <f t="shared" si="26"/>
        <v>Medium risk</v>
      </c>
    </row>
    <row r="189" spans="1:30" x14ac:dyDescent="0.35">
      <c r="A189" s="4" t="s">
        <v>583</v>
      </c>
      <c r="B189" s="4" t="s">
        <v>584</v>
      </c>
      <c r="C189">
        <v>40</v>
      </c>
      <c r="D189" s="4" t="s">
        <v>73</v>
      </c>
      <c r="E189" s="4" t="s">
        <v>131</v>
      </c>
      <c r="F189" s="4" t="s">
        <v>90</v>
      </c>
      <c r="G189">
        <v>22</v>
      </c>
      <c r="H189">
        <v>125</v>
      </c>
      <c r="I189">
        <v>76</v>
      </c>
      <c r="J189">
        <v>273</v>
      </c>
      <c r="K189">
        <v>121</v>
      </c>
      <c r="L189" s="4" t="s">
        <v>860</v>
      </c>
      <c r="M189">
        <v>6</v>
      </c>
      <c r="N189">
        <v>5</v>
      </c>
      <c r="O189" s="4" t="s">
        <v>25</v>
      </c>
      <c r="P189" s="5">
        <v>44455</v>
      </c>
      <c r="Q189">
        <v>6</v>
      </c>
      <c r="R189">
        <v>15</v>
      </c>
      <c r="S189" s="4" t="s">
        <v>78</v>
      </c>
      <c r="T189" s="4" t="s">
        <v>862</v>
      </c>
      <c r="U189" t="str">
        <f t="shared" si="18"/>
        <v>Normal</v>
      </c>
      <c r="V189" s="4" t="str">
        <f t="shared" si="19"/>
        <v>Adult</v>
      </c>
      <c r="W189" s="4" t="str">
        <f t="shared" si="20"/>
        <v>Elevated</v>
      </c>
      <c r="X189" s="4">
        <f t="shared" si="21"/>
        <v>0</v>
      </c>
      <c r="Y189" s="4">
        <f t="shared" si="22"/>
        <v>0</v>
      </c>
      <c r="Z189" s="4">
        <f t="shared" si="23"/>
        <v>0</v>
      </c>
      <c r="AA189" s="4">
        <f t="shared" si="24"/>
        <v>0</v>
      </c>
      <c r="AB189" s="4">
        <f t="shared" si="25"/>
        <v>1</v>
      </c>
      <c r="AC189" s="4">
        <f>SUM(Table1_2[[#This Row],[bp score]],Table1_2[[#This Row],[bmi score]],Table1_2[[#This Row],[Csmoking score]],Table1_2[[#This Row],[Condition score]],Table1_2[[#This Row],[Cholesterol score]],)</f>
        <v>1</v>
      </c>
      <c r="AD189" s="4" t="str">
        <f t="shared" si="26"/>
        <v>Low risk</v>
      </c>
    </row>
    <row r="190" spans="1:30" x14ac:dyDescent="0.35">
      <c r="A190" s="4" t="s">
        <v>586</v>
      </c>
      <c r="B190" s="4" t="s">
        <v>587</v>
      </c>
      <c r="C190">
        <v>27</v>
      </c>
      <c r="D190" s="4" t="s">
        <v>73</v>
      </c>
      <c r="E190" s="4" t="s">
        <v>33</v>
      </c>
      <c r="F190" s="4" t="s">
        <v>90</v>
      </c>
      <c r="G190">
        <v>20.7</v>
      </c>
      <c r="H190">
        <v>111</v>
      </c>
      <c r="I190">
        <v>92</v>
      </c>
      <c r="J190">
        <v>159</v>
      </c>
      <c r="K190">
        <v>95</v>
      </c>
      <c r="L190" s="4" t="s">
        <v>859</v>
      </c>
      <c r="M190">
        <v>7</v>
      </c>
      <c r="N190">
        <v>4</v>
      </c>
      <c r="O190" s="4" t="s">
        <v>35</v>
      </c>
      <c r="P190" s="5">
        <v>45061</v>
      </c>
      <c r="Q190">
        <v>1</v>
      </c>
      <c r="R190">
        <v>3</v>
      </c>
      <c r="S190" s="4" t="s">
        <v>60</v>
      </c>
      <c r="T190" s="4" t="s">
        <v>862</v>
      </c>
      <c r="U190" t="str">
        <f t="shared" si="18"/>
        <v>Normal</v>
      </c>
      <c r="V190" s="4" t="str">
        <f t="shared" si="19"/>
        <v>Young adult</v>
      </c>
      <c r="W190" s="4" t="str">
        <f t="shared" si="20"/>
        <v>High Bp</v>
      </c>
      <c r="X190" s="4">
        <f t="shared" si="21"/>
        <v>1</v>
      </c>
      <c r="Y190" s="4">
        <f t="shared" si="22"/>
        <v>0</v>
      </c>
      <c r="Z190" s="4">
        <f t="shared" si="23"/>
        <v>1</v>
      </c>
      <c r="AA190" s="4">
        <f t="shared" si="24"/>
        <v>1</v>
      </c>
      <c r="AB190" s="4">
        <f t="shared" si="25"/>
        <v>0</v>
      </c>
      <c r="AC190" s="4">
        <f>SUM(Table1_2[[#This Row],[bp score]],Table1_2[[#This Row],[bmi score]],Table1_2[[#This Row],[Csmoking score]],Table1_2[[#This Row],[Condition score]],Table1_2[[#This Row],[Cholesterol score]],)</f>
        <v>3</v>
      </c>
      <c r="AD190" s="4" t="str">
        <f t="shared" si="26"/>
        <v>Medium risk</v>
      </c>
    </row>
    <row r="191" spans="1:30" x14ac:dyDescent="0.35">
      <c r="A191" s="4" t="s">
        <v>589</v>
      </c>
      <c r="B191" s="4" t="s">
        <v>590</v>
      </c>
      <c r="C191">
        <v>42</v>
      </c>
      <c r="D191" s="4" t="s">
        <v>32</v>
      </c>
      <c r="E191" s="4" t="s">
        <v>131</v>
      </c>
      <c r="F191" s="4" t="s">
        <v>82</v>
      </c>
      <c r="G191">
        <v>38.299999999999997</v>
      </c>
      <c r="H191">
        <v>105</v>
      </c>
      <c r="I191">
        <v>60</v>
      </c>
      <c r="J191">
        <v>175</v>
      </c>
      <c r="K191">
        <v>239</v>
      </c>
      <c r="L191" s="4" t="s">
        <v>860</v>
      </c>
      <c r="M191">
        <v>5</v>
      </c>
      <c r="N191">
        <v>6</v>
      </c>
      <c r="O191" s="4" t="s">
        <v>35</v>
      </c>
      <c r="P191" s="5">
        <v>45263</v>
      </c>
      <c r="Q191">
        <v>11</v>
      </c>
      <c r="R191">
        <v>10</v>
      </c>
      <c r="S191" s="4" t="s">
        <v>60</v>
      </c>
      <c r="T191" s="4" t="s">
        <v>863</v>
      </c>
      <c r="U191" t="str">
        <f t="shared" si="18"/>
        <v>Obese</v>
      </c>
      <c r="V191" s="4" t="str">
        <f t="shared" si="19"/>
        <v>Elder</v>
      </c>
      <c r="W191" s="4" t="str">
        <f t="shared" si="20"/>
        <v>Normal</v>
      </c>
      <c r="X191" s="4">
        <f t="shared" si="21"/>
        <v>0</v>
      </c>
      <c r="Y191" s="4">
        <f t="shared" si="22"/>
        <v>1</v>
      </c>
      <c r="Z191" s="4">
        <f t="shared" si="23"/>
        <v>0</v>
      </c>
      <c r="AA191" s="4">
        <f t="shared" si="24"/>
        <v>1</v>
      </c>
      <c r="AB191" s="4">
        <f t="shared" si="25"/>
        <v>0</v>
      </c>
      <c r="AC191" s="4">
        <f>SUM(Table1_2[[#This Row],[bp score]],Table1_2[[#This Row],[bmi score]],Table1_2[[#This Row],[Csmoking score]],Table1_2[[#This Row],[Condition score]],Table1_2[[#This Row],[Cholesterol score]],)</f>
        <v>2</v>
      </c>
      <c r="AD191" s="4" t="str">
        <f t="shared" si="26"/>
        <v>Medium risk</v>
      </c>
    </row>
    <row r="192" spans="1:30" x14ac:dyDescent="0.35">
      <c r="A192" s="4" t="s">
        <v>591</v>
      </c>
      <c r="B192" s="4" t="s">
        <v>206</v>
      </c>
      <c r="C192">
        <v>51</v>
      </c>
      <c r="D192" s="4" t="s">
        <v>32</v>
      </c>
      <c r="E192" s="4" t="s">
        <v>65</v>
      </c>
      <c r="F192" s="4" t="s">
        <v>90</v>
      </c>
      <c r="G192">
        <v>37</v>
      </c>
      <c r="H192">
        <v>121</v>
      </c>
      <c r="I192">
        <v>67</v>
      </c>
      <c r="J192">
        <v>173</v>
      </c>
      <c r="K192">
        <v>248</v>
      </c>
      <c r="L192" s="4" t="s">
        <v>859</v>
      </c>
      <c r="M192">
        <v>2</v>
      </c>
      <c r="N192">
        <v>2</v>
      </c>
      <c r="O192" s="4" t="s">
        <v>25</v>
      </c>
      <c r="P192" s="5">
        <v>45587</v>
      </c>
      <c r="Q192">
        <v>14</v>
      </c>
      <c r="R192">
        <v>5</v>
      </c>
      <c r="S192" s="4" t="s">
        <v>46</v>
      </c>
      <c r="T192" s="4" t="s">
        <v>100</v>
      </c>
      <c r="U192" t="str">
        <f t="shared" si="18"/>
        <v>Obese</v>
      </c>
      <c r="V192" s="4" t="str">
        <f t="shared" si="19"/>
        <v>Aged</v>
      </c>
      <c r="W192" s="4" t="str">
        <f t="shared" si="20"/>
        <v>Elevated</v>
      </c>
      <c r="X192" s="4">
        <f t="shared" si="21"/>
        <v>0</v>
      </c>
      <c r="Y192" s="4">
        <f t="shared" si="22"/>
        <v>1</v>
      </c>
      <c r="Z192" s="4">
        <f t="shared" si="23"/>
        <v>1</v>
      </c>
      <c r="AA192" s="4">
        <f t="shared" si="24"/>
        <v>0</v>
      </c>
      <c r="AB192" s="4">
        <f t="shared" si="25"/>
        <v>0</v>
      </c>
      <c r="AC192" s="4">
        <f>SUM(Table1_2[[#This Row],[bp score]],Table1_2[[#This Row],[bmi score]],Table1_2[[#This Row],[Csmoking score]],Table1_2[[#This Row],[Condition score]],Table1_2[[#This Row],[Cholesterol score]],)</f>
        <v>2</v>
      </c>
      <c r="AD192" s="4" t="str">
        <f t="shared" si="26"/>
        <v>Medium risk</v>
      </c>
    </row>
    <row r="193" spans="1:30" x14ac:dyDescent="0.35">
      <c r="A193" s="4" t="s">
        <v>593</v>
      </c>
      <c r="B193" s="4" t="s">
        <v>366</v>
      </c>
      <c r="C193">
        <v>23</v>
      </c>
      <c r="D193" s="4" t="s">
        <v>32</v>
      </c>
      <c r="E193" s="4" t="s">
        <v>161</v>
      </c>
      <c r="F193" s="4" t="s">
        <v>90</v>
      </c>
      <c r="G193">
        <v>19.8</v>
      </c>
      <c r="H193">
        <v>152</v>
      </c>
      <c r="I193">
        <v>88</v>
      </c>
      <c r="J193">
        <v>151</v>
      </c>
      <c r="K193">
        <v>86</v>
      </c>
      <c r="L193" s="4" t="s">
        <v>859</v>
      </c>
      <c r="M193">
        <v>7</v>
      </c>
      <c r="N193">
        <v>6</v>
      </c>
      <c r="O193" s="4" t="s">
        <v>25</v>
      </c>
      <c r="P193" s="5">
        <v>44893</v>
      </c>
      <c r="Q193">
        <v>10</v>
      </c>
      <c r="R193">
        <v>16</v>
      </c>
      <c r="S193" s="4" t="s">
        <v>38</v>
      </c>
      <c r="T193" s="4" t="s">
        <v>863</v>
      </c>
      <c r="U193" t="str">
        <f t="shared" si="18"/>
        <v>Normal</v>
      </c>
      <c r="V193" s="4" t="str">
        <f t="shared" si="19"/>
        <v>Young adult</v>
      </c>
      <c r="W193" s="4" t="str">
        <f t="shared" si="20"/>
        <v>High Bp</v>
      </c>
      <c r="X193" s="4">
        <f t="shared" si="21"/>
        <v>1</v>
      </c>
      <c r="Y193" s="4">
        <f t="shared" si="22"/>
        <v>0</v>
      </c>
      <c r="Z193" s="4">
        <f t="shared" si="23"/>
        <v>1</v>
      </c>
      <c r="AA193" s="4">
        <f t="shared" si="24"/>
        <v>1</v>
      </c>
      <c r="AB193" s="4">
        <f t="shared" si="25"/>
        <v>0</v>
      </c>
      <c r="AC193" s="4">
        <f>SUM(Table1_2[[#This Row],[bp score]],Table1_2[[#This Row],[bmi score]],Table1_2[[#This Row],[Csmoking score]],Table1_2[[#This Row],[Condition score]],Table1_2[[#This Row],[Cholesterol score]],)</f>
        <v>3</v>
      </c>
      <c r="AD193" s="4" t="str">
        <f t="shared" si="26"/>
        <v>Medium risk</v>
      </c>
    </row>
    <row r="194" spans="1:30" x14ac:dyDescent="0.35">
      <c r="A194" s="4" t="s">
        <v>595</v>
      </c>
      <c r="B194" s="4" t="s">
        <v>596</v>
      </c>
      <c r="C194">
        <v>52</v>
      </c>
      <c r="D194" s="4" t="s">
        <v>73</v>
      </c>
      <c r="E194" s="4" t="s">
        <v>65</v>
      </c>
      <c r="F194" s="4" t="s">
        <v>24</v>
      </c>
      <c r="G194">
        <v>38</v>
      </c>
      <c r="H194">
        <v>106</v>
      </c>
      <c r="I194">
        <v>60</v>
      </c>
      <c r="J194">
        <v>180</v>
      </c>
      <c r="K194">
        <v>199</v>
      </c>
      <c r="L194" s="4" t="s">
        <v>859</v>
      </c>
      <c r="M194">
        <v>7</v>
      </c>
      <c r="N194">
        <v>3</v>
      </c>
      <c r="O194" s="4" t="s">
        <v>35</v>
      </c>
      <c r="P194" s="5">
        <v>45451</v>
      </c>
      <c r="Q194">
        <v>10</v>
      </c>
      <c r="R194">
        <v>8</v>
      </c>
      <c r="S194" s="4" t="s">
        <v>99</v>
      </c>
      <c r="T194" s="4" t="s">
        <v>100</v>
      </c>
      <c r="U194" t="str">
        <f t="shared" ref="U194:U257" si="27">IF(G194&lt;18.5,"Underweight",IF(G194&lt;=24.9,"Normal",IF(G194&lt;=29.9,"Overweight","Obese")))</f>
        <v>Obese</v>
      </c>
      <c r="V194" s="4" t="str">
        <f t="shared" ref="V194:V257" si="28">IF(C194&lt;=30,"Young adult",IF(C194&lt;=40,"Adult",IF(C194&lt;=50,"Elder","Aged")))</f>
        <v>Aged</v>
      </c>
      <c r="W194" s="4" t="str">
        <f t="shared" ref="W194:W257" si="29">IF(OR(H194&lt;90,I194&lt;60), "Low BP",IF(AND(H194&lt;120,I194&lt;80),"Normal",IF(AND(H194&gt;=120,H194&lt;130,I194&lt;80),"Elevated","High Bp")))</f>
        <v>Normal</v>
      </c>
      <c r="X194" s="4">
        <f t="shared" ref="X194:X257" si="30">IF(W194="HIGH bp",1,0)</f>
        <v>0</v>
      </c>
      <c r="Y194" s="4">
        <f t="shared" ref="Y194:Y257" si="31">IF(U194="obese",1,0)</f>
        <v>1</v>
      </c>
      <c r="Z194" s="4">
        <f t="shared" ref="Z194:Z257" si="32">IF(L194="current smoker",1,0)</f>
        <v>1</v>
      </c>
      <c r="AA194" s="4">
        <f t="shared" ref="AA194:AA257" si="33">IF(S194="none",0,1)</f>
        <v>1</v>
      </c>
      <c r="AB194" s="4">
        <f t="shared" ref="AB194:AB257" si="34">IF(J194&gt;200,1,0)</f>
        <v>0</v>
      </c>
      <c r="AC194" s="4">
        <f>SUM(Table1_2[[#This Row],[bp score]],Table1_2[[#This Row],[bmi score]],Table1_2[[#This Row],[Csmoking score]],Table1_2[[#This Row],[Condition score]],Table1_2[[#This Row],[Cholesterol score]],)</f>
        <v>3</v>
      </c>
      <c r="AD194" s="4" t="str">
        <f t="shared" ref="AD194:AD257" si="35">IF(AC194&gt;=4,"High risk", IF(AC194&gt;=2, "Medium risk", "Low risk"))</f>
        <v>Medium risk</v>
      </c>
    </row>
    <row r="195" spans="1:30" x14ac:dyDescent="0.35">
      <c r="A195" s="4" t="s">
        <v>598</v>
      </c>
      <c r="B195" s="4" t="s">
        <v>599</v>
      </c>
      <c r="C195">
        <v>46</v>
      </c>
      <c r="D195" s="4" t="s">
        <v>32</v>
      </c>
      <c r="E195" s="4" t="s">
        <v>23</v>
      </c>
      <c r="F195" s="4" t="s">
        <v>82</v>
      </c>
      <c r="G195">
        <v>28.5</v>
      </c>
      <c r="H195">
        <v>157</v>
      </c>
      <c r="I195">
        <v>65</v>
      </c>
      <c r="J195">
        <v>267</v>
      </c>
      <c r="K195">
        <v>184</v>
      </c>
      <c r="L195" s="4" t="s">
        <v>860</v>
      </c>
      <c r="M195">
        <v>1</v>
      </c>
      <c r="N195">
        <v>8</v>
      </c>
      <c r="O195" s="4" t="s">
        <v>25</v>
      </c>
      <c r="P195" s="5">
        <v>44391</v>
      </c>
      <c r="Q195">
        <v>1</v>
      </c>
      <c r="R195">
        <v>17</v>
      </c>
      <c r="S195" s="4" t="s">
        <v>38</v>
      </c>
      <c r="T195" s="4" t="s">
        <v>862</v>
      </c>
      <c r="U195" t="str">
        <f t="shared" si="27"/>
        <v>Overweight</v>
      </c>
      <c r="V195" s="4" t="str">
        <f t="shared" si="28"/>
        <v>Elder</v>
      </c>
      <c r="W195" s="4" t="str">
        <f t="shared" si="29"/>
        <v>High Bp</v>
      </c>
      <c r="X195" s="4">
        <f t="shared" si="30"/>
        <v>1</v>
      </c>
      <c r="Y195" s="4">
        <f t="shared" si="31"/>
        <v>0</v>
      </c>
      <c r="Z195" s="4">
        <f t="shared" si="32"/>
        <v>0</v>
      </c>
      <c r="AA195" s="4">
        <f t="shared" si="33"/>
        <v>1</v>
      </c>
      <c r="AB195" s="4">
        <f t="shared" si="34"/>
        <v>1</v>
      </c>
      <c r="AC195" s="4">
        <f>SUM(Table1_2[[#This Row],[bp score]],Table1_2[[#This Row],[bmi score]],Table1_2[[#This Row],[Csmoking score]],Table1_2[[#This Row],[Condition score]],Table1_2[[#This Row],[Cholesterol score]],)</f>
        <v>3</v>
      </c>
      <c r="AD195" s="4" t="str">
        <f t="shared" si="35"/>
        <v>Medium risk</v>
      </c>
    </row>
    <row r="196" spans="1:30" x14ac:dyDescent="0.35">
      <c r="A196" s="4" t="s">
        <v>601</v>
      </c>
      <c r="B196" s="4" t="s">
        <v>602</v>
      </c>
      <c r="C196">
        <v>61</v>
      </c>
      <c r="D196" s="4" t="s">
        <v>32</v>
      </c>
      <c r="E196" s="4" t="s">
        <v>131</v>
      </c>
      <c r="F196" s="4" t="s">
        <v>75</v>
      </c>
      <c r="G196">
        <v>22.2</v>
      </c>
      <c r="H196">
        <v>158</v>
      </c>
      <c r="I196">
        <v>81</v>
      </c>
      <c r="J196">
        <v>233</v>
      </c>
      <c r="K196">
        <v>83</v>
      </c>
      <c r="L196" s="4" t="s">
        <v>861</v>
      </c>
      <c r="M196">
        <v>7</v>
      </c>
      <c r="N196">
        <v>6</v>
      </c>
      <c r="O196" s="4" t="s">
        <v>35</v>
      </c>
      <c r="P196" s="5">
        <v>45275</v>
      </c>
      <c r="Q196">
        <v>3</v>
      </c>
      <c r="R196">
        <v>3</v>
      </c>
      <c r="S196" s="4" t="s">
        <v>78</v>
      </c>
      <c r="T196" s="4" t="s">
        <v>862</v>
      </c>
      <c r="U196" t="str">
        <f t="shared" si="27"/>
        <v>Normal</v>
      </c>
      <c r="V196" s="4" t="str">
        <f t="shared" si="28"/>
        <v>Aged</v>
      </c>
      <c r="W196" s="4" t="str">
        <f t="shared" si="29"/>
        <v>High Bp</v>
      </c>
      <c r="X196" s="4">
        <f t="shared" si="30"/>
        <v>1</v>
      </c>
      <c r="Y196" s="4">
        <f t="shared" si="31"/>
        <v>0</v>
      </c>
      <c r="Z196" s="4">
        <f t="shared" si="32"/>
        <v>0</v>
      </c>
      <c r="AA196" s="4">
        <f t="shared" si="33"/>
        <v>0</v>
      </c>
      <c r="AB196" s="4">
        <f t="shared" si="34"/>
        <v>1</v>
      </c>
      <c r="AC196" s="4">
        <f>SUM(Table1_2[[#This Row],[bp score]],Table1_2[[#This Row],[bmi score]],Table1_2[[#This Row],[Csmoking score]],Table1_2[[#This Row],[Condition score]],Table1_2[[#This Row],[Cholesterol score]],)</f>
        <v>2</v>
      </c>
      <c r="AD196" s="4" t="str">
        <f t="shared" si="35"/>
        <v>Medium risk</v>
      </c>
    </row>
    <row r="197" spans="1:30" x14ac:dyDescent="0.35">
      <c r="A197" s="4" t="s">
        <v>604</v>
      </c>
      <c r="B197" s="4" t="s">
        <v>605</v>
      </c>
      <c r="C197">
        <v>44</v>
      </c>
      <c r="D197" s="4" t="s">
        <v>32</v>
      </c>
      <c r="E197" s="4" t="s">
        <v>131</v>
      </c>
      <c r="F197" s="4" t="s">
        <v>75</v>
      </c>
      <c r="G197">
        <v>26.3</v>
      </c>
      <c r="H197">
        <v>113</v>
      </c>
      <c r="I197">
        <v>62</v>
      </c>
      <c r="J197">
        <v>182</v>
      </c>
      <c r="K197">
        <v>196</v>
      </c>
      <c r="L197" s="4" t="s">
        <v>860</v>
      </c>
      <c r="M197">
        <v>6</v>
      </c>
      <c r="N197">
        <v>2</v>
      </c>
      <c r="O197" s="4" t="s">
        <v>25</v>
      </c>
      <c r="P197" s="5">
        <v>44655</v>
      </c>
      <c r="Q197">
        <v>12</v>
      </c>
      <c r="R197">
        <v>6</v>
      </c>
      <c r="S197" s="4" t="s">
        <v>92</v>
      </c>
      <c r="T197" s="4" t="s">
        <v>862</v>
      </c>
      <c r="U197" t="str">
        <f t="shared" si="27"/>
        <v>Overweight</v>
      </c>
      <c r="V197" s="4" t="str">
        <f t="shared" si="28"/>
        <v>Elder</v>
      </c>
      <c r="W197" s="4" t="str">
        <f t="shared" si="29"/>
        <v>Normal</v>
      </c>
      <c r="X197" s="4">
        <f t="shared" si="30"/>
        <v>0</v>
      </c>
      <c r="Y197" s="4">
        <f t="shared" si="31"/>
        <v>0</v>
      </c>
      <c r="Z197" s="4">
        <f t="shared" si="32"/>
        <v>0</v>
      </c>
      <c r="AA197" s="4">
        <f t="shared" si="33"/>
        <v>1</v>
      </c>
      <c r="AB197" s="4">
        <f t="shared" si="34"/>
        <v>0</v>
      </c>
      <c r="AC197" s="4">
        <f>SUM(Table1_2[[#This Row],[bp score]],Table1_2[[#This Row],[bmi score]],Table1_2[[#This Row],[Csmoking score]],Table1_2[[#This Row],[Condition score]],Table1_2[[#This Row],[Cholesterol score]],)</f>
        <v>1</v>
      </c>
      <c r="AD197" s="4" t="str">
        <f t="shared" si="35"/>
        <v>Low risk</v>
      </c>
    </row>
    <row r="198" spans="1:30" x14ac:dyDescent="0.35">
      <c r="A198" s="4" t="s">
        <v>607</v>
      </c>
      <c r="B198" s="4" t="s">
        <v>608</v>
      </c>
      <c r="C198">
        <v>48</v>
      </c>
      <c r="D198" s="4" t="s">
        <v>32</v>
      </c>
      <c r="E198" s="4" t="s">
        <v>33</v>
      </c>
      <c r="F198" s="4" t="s">
        <v>82</v>
      </c>
      <c r="G198">
        <v>36.299999999999997</v>
      </c>
      <c r="H198">
        <v>157</v>
      </c>
      <c r="I198">
        <v>89</v>
      </c>
      <c r="J198">
        <v>269</v>
      </c>
      <c r="K198">
        <v>104</v>
      </c>
      <c r="L198" s="4" t="s">
        <v>859</v>
      </c>
      <c r="M198">
        <v>0</v>
      </c>
      <c r="N198">
        <v>9</v>
      </c>
      <c r="O198" s="4" t="s">
        <v>25</v>
      </c>
      <c r="P198" s="5">
        <v>45581</v>
      </c>
      <c r="Q198">
        <v>16</v>
      </c>
      <c r="R198">
        <v>5</v>
      </c>
      <c r="S198" s="4" t="s">
        <v>46</v>
      </c>
      <c r="T198" s="4" t="s">
        <v>864</v>
      </c>
      <c r="U198" t="str">
        <f t="shared" si="27"/>
        <v>Obese</v>
      </c>
      <c r="V198" s="4" t="str">
        <f t="shared" si="28"/>
        <v>Elder</v>
      </c>
      <c r="W198" s="4" t="str">
        <f t="shared" si="29"/>
        <v>High Bp</v>
      </c>
      <c r="X198" s="4">
        <f t="shared" si="30"/>
        <v>1</v>
      </c>
      <c r="Y198" s="4">
        <f t="shared" si="31"/>
        <v>1</v>
      </c>
      <c r="Z198" s="4">
        <f t="shared" si="32"/>
        <v>1</v>
      </c>
      <c r="AA198" s="4">
        <f t="shared" si="33"/>
        <v>0</v>
      </c>
      <c r="AB198" s="4">
        <f t="shared" si="34"/>
        <v>1</v>
      </c>
      <c r="AC198" s="4">
        <f>SUM(Table1_2[[#This Row],[bp score]],Table1_2[[#This Row],[bmi score]],Table1_2[[#This Row],[Csmoking score]],Table1_2[[#This Row],[Condition score]],Table1_2[[#This Row],[Cholesterol score]],)</f>
        <v>4</v>
      </c>
      <c r="AD198" s="4" t="str">
        <f t="shared" si="35"/>
        <v>High risk</v>
      </c>
    </row>
    <row r="199" spans="1:30" x14ac:dyDescent="0.35">
      <c r="A199" s="4" t="s">
        <v>610</v>
      </c>
      <c r="B199" s="4" t="s">
        <v>611</v>
      </c>
      <c r="C199">
        <v>46</v>
      </c>
      <c r="D199" s="4" t="s">
        <v>73</v>
      </c>
      <c r="E199" s="4" t="s">
        <v>131</v>
      </c>
      <c r="F199" s="4" t="s">
        <v>82</v>
      </c>
      <c r="G199">
        <v>27.5</v>
      </c>
      <c r="H199">
        <v>131</v>
      </c>
      <c r="I199">
        <v>77</v>
      </c>
      <c r="J199">
        <v>241</v>
      </c>
      <c r="K199">
        <v>157</v>
      </c>
      <c r="L199" s="4" t="s">
        <v>859</v>
      </c>
      <c r="M199">
        <v>7</v>
      </c>
      <c r="N199">
        <v>3</v>
      </c>
      <c r="O199" s="4" t="s">
        <v>25</v>
      </c>
      <c r="P199" s="5">
        <v>45588</v>
      </c>
      <c r="Q199">
        <v>16</v>
      </c>
      <c r="R199">
        <v>9</v>
      </c>
      <c r="S199" s="4" t="s">
        <v>38</v>
      </c>
      <c r="T199" s="4" t="s">
        <v>864</v>
      </c>
      <c r="U199" t="str">
        <f t="shared" si="27"/>
        <v>Overweight</v>
      </c>
      <c r="V199" s="4" t="str">
        <f t="shared" si="28"/>
        <v>Elder</v>
      </c>
      <c r="W199" s="4" t="str">
        <f t="shared" si="29"/>
        <v>High Bp</v>
      </c>
      <c r="X199" s="4">
        <f t="shared" si="30"/>
        <v>1</v>
      </c>
      <c r="Y199" s="4">
        <f t="shared" si="31"/>
        <v>0</v>
      </c>
      <c r="Z199" s="4">
        <f t="shared" si="32"/>
        <v>1</v>
      </c>
      <c r="AA199" s="4">
        <f t="shared" si="33"/>
        <v>1</v>
      </c>
      <c r="AB199" s="4">
        <f t="shared" si="34"/>
        <v>1</v>
      </c>
      <c r="AC199" s="4">
        <f>SUM(Table1_2[[#This Row],[bp score]],Table1_2[[#This Row],[bmi score]],Table1_2[[#This Row],[Csmoking score]],Table1_2[[#This Row],[Condition score]],Table1_2[[#This Row],[Cholesterol score]],)</f>
        <v>4</v>
      </c>
      <c r="AD199" s="4" t="str">
        <f t="shared" si="35"/>
        <v>High risk</v>
      </c>
    </row>
    <row r="200" spans="1:30" x14ac:dyDescent="0.35">
      <c r="A200" s="4" t="s">
        <v>613</v>
      </c>
      <c r="B200" s="4" t="s">
        <v>614</v>
      </c>
      <c r="C200">
        <v>34</v>
      </c>
      <c r="D200" s="4" t="s">
        <v>73</v>
      </c>
      <c r="E200" s="4" t="s">
        <v>33</v>
      </c>
      <c r="F200" s="4" t="s">
        <v>57</v>
      </c>
      <c r="G200">
        <v>34.200000000000003</v>
      </c>
      <c r="H200">
        <v>116</v>
      </c>
      <c r="I200">
        <v>105</v>
      </c>
      <c r="J200">
        <v>185</v>
      </c>
      <c r="K200">
        <v>198</v>
      </c>
      <c r="L200" s="4" t="s">
        <v>860</v>
      </c>
      <c r="M200">
        <v>7</v>
      </c>
      <c r="N200">
        <v>6</v>
      </c>
      <c r="O200" s="4" t="s">
        <v>35</v>
      </c>
      <c r="P200" s="5">
        <v>45185</v>
      </c>
      <c r="Q200">
        <v>18</v>
      </c>
      <c r="R200">
        <v>18</v>
      </c>
      <c r="S200" s="4" t="s">
        <v>78</v>
      </c>
      <c r="T200" s="4" t="s">
        <v>100</v>
      </c>
      <c r="U200" t="str">
        <f t="shared" si="27"/>
        <v>Obese</v>
      </c>
      <c r="V200" s="4" t="str">
        <f t="shared" si="28"/>
        <v>Adult</v>
      </c>
      <c r="W200" s="4" t="str">
        <f t="shared" si="29"/>
        <v>High Bp</v>
      </c>
      <c r="X200" s="4">
        <f t="shared" si="30"/>
        <v>1</v>
      </c>
      <c r="Y200" s="4">
        <f t="shared" si="31"/>
        <v>1</v>
      </c>
      <c r="Z200" s="4">
        <f t="shared" si="32"/>
        <v>0</v>
      </c>
      <c r="AA200" s="4">
        <f t="shared" si="33"/>
        <v>0</v>
      </c>
      <c r="AB200" s="4">
        <f t="shared" si="34"/>
        <v>0</v>
      </c>
      <c r="AC200" s="4">
        <f>SUM(Table1_2[[#This Row],[bp score]],Table1_2[[#This Row],[bmi score]],Table1_2[[#This Row],[Csmoking score]],Table1_2[[#This Row],[Condition score]],Table1_2[[#This Row],[Cholesterol score]],)</f>
        <v>2</v>
      </c>
      <c r="AD200" s="4" t="str">
        <f t="shared" si="35"/>
        <v>Medium risk</v>
      </c>
    </row>
    <row r="201" spans="1:30" x14ac:dyDescent="0.35">
      <c r="A201" s="4" t="s">
        <v>616</v>
      </c>
      <c r="B201" s="4" t="s">
        <v>617</v>
      </c>
      <c r="C201">
        <v>25</v>
      </c>
      <c r="D201" s="4" t="s">
        <v>73</v>
      </c>
      <c r="E201" s="4" t="s">
        <v>161</v>
      </c>
      <c r="F201" s="4" t="s">
        <v>82</v>
      </c>
      <c r="G201">
        <v>20.6</v>
      </c>
      <c r="H201">
        <v>134</v>
      </c>
      <c r="I201">
        <v>72</v>
      </c>
      <c r="J201">
        <v>208</v>
      </c>
      <c r="K201">
        <v>111</v>
      </c>
      <c r="L201" s="4" t="s">
        <v>859</v>
      </c>
      <c r="M201">
        <v>7</v>
      </c>
      <c r="N201">
        <v>5</v>
      </c>
      <c r="O201" s="4" t="s">
        <v>25</v>
      </c>
      <c r="P201" s="5">
        <v>44556</v>
      </c>
      <c r="Q201">
        <v>9</v>
      </c>
      <c r="R201">
        <v>6</v>
      </c>
      <c r="S201" s="4" t="s">
        <v>38</v>
      </c>
      <c r="T201" s="4" t="s">
        <v>862</v>
      </c>
      <c r="U201" t="str">
        <f t="shared" si="27"/>
        <v>Normal</v>
      </c>
      <c r="V201" s="4" t="str">
        <f t="shared" si="28"/>
        <v>Young adult</v>
      </c>
      <c r="W201" s="4" t="str">
        <f t="shared" si="29"/>
        <v>High Bp</v>
      </c>
      <c r="X201" s="4">
        <f t="shared" si="30"/>
        <v>1</v>
      </c>
      <c r="Y201" s="4">
        <f t="shared" si="31"/>
        <v>0</v>
      </c>
      <c r="Z201" s="4">
        <f t="shared" si="32"/>
        <v>1</v>
      </c>
      <c r="AA201" s="4">
        <f t="shared" si="33"/>
        <v>1</v>
      </c>
      <c r="AB201" s="4">
        <f t="shared" si="34"/>
        <v>1</v>
      </c>
      <c r="AC201" s="4">
        <f>SUM(Table1_2[[#This Row],[bp score]],Table1_2[[#This Row],[bmi score]],Table1_2[[#This Row],[Csmoking score]],Table1_2[[#This Row],[Condition score]],Table1_2[[#This Row],[Cholesterol score]],)</f>
        <v>4</v>
      </c>
      <c r="AD201" s="4" t="str">
        <f t="shared" si="35"/>
        <v>High risk</v>
      </c>
    </row>
    <row r="202" spans="1:30" x14ac:dyDescent="0.35">
      <c r="A202" s="4" t="s">
        <v>619</v>
      </c>
      <c r="B202" s="4" t="s">
        <v>620</v>
      </c>
      <c r="C202">
        <v>28</v>
      </c>
      <c r="D202" s="4" t="s">
        <v>73</v>
      </c>
      <c r="E202" s="4" t="s">
        <v>131</v>
      </c>
      <c r="F202" s="4" t="s">
        <v>82</v>
      </c>
      <c r="G202">
        <v>22.9</v>
      </c>
      <c r="H202">
        <v>136</v>
      </c>
      <c r="I202">
        <v>104</v>
      </c>
      <c r="J202">
        <v>152</v>
      </c>
      <c r="K202">
        <v>167</v>
      </c>
      <c r="L202" s="4" t="s">
        <v>860</v>
      </c>
      <c r="M202">
        <v>6</v>
      </c>
      <c r="N202">
        <v>6</v>
      </c>
      <c r="O202" s="4" t="s">
        <v>25</v>
      </c>
      <c r="P202" s="5">
        <v>44539</v>
      </c>
      <c r="Q202">
        <v>6</v>
      </c>
      <c r="R202">
        <v>19</v>
      </c>
      <c r="S202" s="4" t="s">
        <v>92</v>
      </c>
      <c r="T202" s="4" t="s">
        <v>862</v>
      </c>
      <c r="U202" t="str">
        <f t="shared" si="27"/>
        <v>Normal</v>
      </c>
      <c r="V202" s="4" t="str">
        <f t="shared" si="28"/>
        <v>Young adult</v>
      </c>
      <c r="W202" s="4" t="str">
        <f t="shared" si="29"/>
        <v>High Bp</v>
      </c>
      <c r="X202" s="4">
        <f t="shared" si="30"/>
        <v>1</v>
      </c>
      <c r="Y202" s="4">
        <f t="shared" si="31"/>
        <v>0</v>
      </c>
      <c r="Z202" s="4">
        <f t="shared" si="32"/>
        <v>0</v>
      </c>
      <c r="AA202" s="4">
        <f t="shared" si="33"/>
        <v>1</v>
      </c>
      <c r="AB202" s="4">
        <f t="shared" si="34"/>
        <v>0</v>
      </c>
      <c r="AC202" s="4">
        <f>SUM(Table1_2[[#This Row],[bp score]],Table1_2[[#This Row],[bmi score]],Table1_2[[#This Row],[Csmoking score]],Table1_2[[#This Row],[Condition score]],Table1_2[[#This Row],[Cholesterol score]],)</f>
        <v>2</v>
      </c>
      <c r="AD202" s="4" t="str">
        <f t="shared" si="35"/>
        <v>Medium risk</v>
      </c>
    </row>
    <row r="203" spans="1:30" x14ac:dyDescent="0.35">
      <c r="A203" s="4" t="s">
        <v>622</v>
      </c>
      <c r="B203" s="4" t="s">
        <v>623</v>
      </c>
      <c r="C203">
        <v>56</v>
      </c>
      <c r="D203" s="4" t="s">
        <v>73</v>
      </c>
      <c r="E203" s="4" t="s">
        <v>23</v>
      </c>
      <c r="F203" s="4" t="s">
        <v>57</v>
      </c>
      <c r="G203">
        <v>28.2</v>
      </c>
      <c r="H203">
        <v>109</v>
      </c>
      <c r="I203">
        <v>71</v>
      </c>
      <c r="J203">
        <v>184</v>
      </c>
      <c r="K203">
        <v>201</v>
      </c>
      <c r="L203" s="4" t="s">
        <v>860</v>
      </c>
      <c r="M203">
        <v>6</v>
      </c>
      <c r="N203">
        <v>1</v>
      </c>
      <c r="O203" s="4" t="s">
        <v>25</v>
      </c>
      <c r="P203" s="5">
        <v>45178</v>
      </c>
      <c r="Q203">
        <v>4</v>
      </c>
      <c r="R203">
        <v>5</v>
      </c>
      <c r="S203" s="4" t="s">
        <v>46</v>
      </c>
      <c r="T203" s="4" t="s">
        <v>863</v>
      </c>
      <c r="U203" t="str">
        <f t="shared" si="27"/>
        <v>Overweight</v>
      </c>
      <c r="V203" s="4" t="str">
        <f t="shared" si="28"/>
        <v>Aged</v>
      </c>
      <c r="W203" s="4" t="str">
        <f t="shared" si="29"/>
        <v>Normal</v>
      </c>
      <c r="X203" s="4">
        <f t="shared" si="30"/>
        <v>0</v>
      </c>
      <c r="Y203" s="4">
        <f t="shared" si="31"/>
        <v>0</v>
      </c>
      <c r="Z203" s="4">
        <f t="shared" si="32"/>
        <v>0</v>
      </c>
      <c r="AA203" s="4">
        <f t="shared" si="33"/>
        <v>0</v>
      </c>
      <c r="AB203" s="4">
        <f t="shared" si="34"/>
        <v>0</v>
      </c>
      <c r="AC203" s="4">
        <f>SUM(Table1_2[[#This Row],[bp score]],Table1_2[[#This Row],[bmi score]],Table1_2[[#This Row],[Csmoking score]],Table1_2[[#This Row],[Condition score]],Table1_2[[#This Row],[Cholesterol score]],)</f>
        <v>0</v>
      </c>
      <c r="AD203" s="4" t="str">
        <f t="shared" si="35"/>
        <v>Low risk</v>
      </c>
    </row>
    <row r="204" spans="1:30" x14ac:dyDescent="0.35">
      <c r="A204" s="4" t="s">
        <v>625</v>
      </c>
      <c r="B204" s="4" t="s">
        <v>605</v>
      </c>
      <c r="C204">
        <v>51</v>
      </c>
      <c r="D204" s="4" t="s">
        <v>32</v>
      </c>
      <c r="E204" s="4" t="s">
        <v>161</v>
      </c>
      <c r="F204" s="4" t="s">
        <v>24</v>
      </c>
      <c r="G204">
        <v>40.200000000000003</v>
      </c>
      <c r="H204">
        <v>106</v>
      </c>
      <c r="I204">
        <v>100</v>
      </c>
      <c r="J204">
        <v>217</v>
      </c>
      <c r="K204">
        <v>195</v>
      </c>
      <c r="L204" s="4" t="s">
        <v>100</v>
      </c>
      <c r="M204">
        <v>0</v>
      </c>
      <c r="N204">
        <v>6</v>
      </c>
      <c r="O204" s="4" t="s">
        <v>35</v>
      </c>
      <c r="P204" s="5">
        <v>45177</v>
      </c>
      <c r="Q204">
        <v>5</v>
      </c>
      <c r="R204">
        <v>16</v>
      </c>
      <c r="S204" s="4" t="s">
        <v>92</v>
      </c>
      <c r="T204" s="4" t="s">
        <v>100</v>
      </c>
      <c r="U204" t="str">
        <f t="shared" si="27"/>
        <v>Obese</v>
      </c>
      <c r="V204" s="4" t="str">
        <f t="shared" si="28"/>
        <v>Aged</v>
      </c>
      <c r="W204" s="4" t="str">
        <f t="shared" si="29"/>
        <v>High Bp</v>
      </c>
      <c r="X204" s="4">
        <f t="shared" si="30"/>
        <v>1</v>
      </c>
      <c r="Y204" s="4">
        <f t="shared" si="31"/>
        <v>1</v>
      </c>
      <c r="Z204" s="4">
        <f t="shared" si="32"/>
        <v>0</v>
      </c>
      <c r="AA204" s="4">
        <f t="shared" si="33"/>
        <v>1</v>
      </c>
      <c r="AB204" s="4">
        <f t="shared" si="34"/>
        <v>1</v>
      </c>
      <c r="AC204" s="4">
        <f>SUM(Table1_2[[#This Row],[bp score]],Table1_2[[#This Row],[bmi score]],Table1_2[[#This Row],[Csmoking score]],Table1_2[[#This Row],[Condition score]],Table1_2[[#This Row],[Cholesterol score]],)</f>
        <v>4</v>
      </c>
      <c r="AD204" s="4" t="str">
        <f t="shared" si="35"/>
        <v>High risk</v>
      </c>
    </row>
    <row r="205" spans="1:30" x14ac:dyDescent="0.35">
      <c r="A205" s="4" t="s">
        <v>627</v>
      </c>
      <c r="B205" s="4" t="s">
        <v>97</v>
      </c>
      <c r="C205">
        <v>56</v>
      </c>
      <c r="D205" s="4" t="s">
        <v>32</v>
      </c>
      <c r="E205" s="4" t="s">
        <v>131</v>
      </c>
      <c r="F205" s="4" t="s">
        <v>117</v>
      </c>
      <c r="G205">
        <v>22.5</v>
      </c>
      <c r="H205">
        <v>127</v>
      </c>
      <c r="I205">
        <v>102</v>
      </c>
      <c r="J205">
        <v>224</v>
      </c>
      <c r="K205">
        <v>154</v>
      </c>
      <c r="L205" s="4" t="s">
        <v>860</v>
      </c>
      <c r="M205">
        <v>4</v>
      </c>
      <c r="N205">
        <v>4</v>
      </c>
      <c r="O205" s="4" t="s">
        <v>35</v>
      </c>
      <c r="P205" s="5">
        <v>44249</v>
      </c>
      <c r="Q205">
        <v>11</v>
      </c>
      <c r="R205">
        <v>14</v>
      </c>
      <c r="S205" s="4" t="s">
        <v>78</v>
      </c>
      <c r="T205" s="4" t="s">
        <v>862</v>
      </c>
      <c r="U205" t="str">
        <f t="shared" si="27"/>
        <v>Normal</v>
      </c>
      <c r="V205" s="4" t="str">
        <f t="shared" si="28"/>
        <v>Aged</v>
      </c>
      <c r="W205" s="4" t="str">
        <f t="shared" si="29"/>
        <v>High Bp</v>
      </c>
      <c r="X205" s="4">
        <f t="shared" si="30"/>
        <v>1</v>
      </c>
      <c r="Y205" s="4">
        <f t="shared" si="31"/>
        <v>0</v>
      </c>
      <c r="Z205" s="4">
        <f t="shared" si="32"/>
        <v>0</v>
      </c>
      <c r="AA205" s="4">
        <f t="shared" si="33"/>
        <v>0</v>
      </c>
      <c r="AB205" s="4">
        <f t="shared" si="34"/>
        <v>1</v>
      </c>
      <c r="AC205" s="4">
        <f>SUM(Table1_2[[#This Row],[bp score]],Table1_2[[#This Row],[bmi score]],Table1_2[[#This Row],[Csmoking score]],Table1_2[[#This Row],[Condition score]],Table1_2[[#This Row],[Cholesterol score]],)</f>
        <v>2</v>
      </c>
      <c r="AD205" s="4" t="str">
        <f t="shared" si="35"/>
        <v>Medium risk</v>
      </c>
    </row>
    <row r="206" spans="1:30" x14ac:dyDescent="0.35">
      <c r="A206" s="4" t="s">
        <v>629</v>
      </c>
      <c r="B206" s="4" t="s">
        <v>102</v>
      </c>
      <c r="C206">
        <v>46</v>
      </c>
      <c r="D206" s="4" t="s">
        <v>73</v>
      </c>
      <c r="E206" s="4" t="s">
        <v>65</v>
      </c>
      <c r="F206" s="4" t="s">
        <v>57</v>
      </c>
      <c r="G206">
        <v>30.5</v>
      </c>
      <c r="H206">
        <v>136</v>
      </c>
      <c r="I206">
        <v>61</v>
      </c>
      <c r="J206">
        <v>272</v>
      </c>
      <c r="K206">
        <v>165</v>
      </c>
      <c r="L206" s="4" t="s">
        <v>860</v>
      </c>
      <c r="M206">
        <v>0</v>
      </c>
      <c r="N206">
        <v>8</v>
      </c>
      <c r="O206" s="4" t="s">
        <v>35</v>
      </c>
      <c r="P206" s="5">
        <v>44337</v>
      </c>
      <c r="Q206">
        <v>6</v>
      </c>
      <c r="R206">
        <v>10</v>
      </c>
      <c r="S206" s="4" t="s">
        <v>38</v>
      </c>
      <c r="T206" s="4" t="s">
        <v>863</v>
      </c>
      <c r="U206" t="str">
        <f t="shared" si="27"/>
        <v>Obese</v>
      </c>
      <c r="V206" s="4" t="str">
        <f t="shared" si="28"/>
        <v>Elder</v>
      </c>
      <c r="W206" s="4" t="str">
        <f t="shared" si="29"/>
        <v>High Bp</v>
      </c>
      <c r="X206" s="4">
        <f t="shared" si="30"/>
        <v>1</v>
      </c>
      <c r="Y206" s="4">
        <f t="shared" si="31"/>
        <v>1</v>
      </c>
      <c r="Z206" s="4">
        <f t="shared" si="32"/>
        <v>0</v>
      </c>
      <c r="AA206" s="4">
        <f t="shared" si="33"/>
        <v>1</v>
      </c>
      <c r="AB206" s="4">
        <f t="shared" si="34"/>
        <v>1</v>
      </c>
      <c r="AC206" s="4">
        <f>SUM(Table1_2[[#This Row],[bp score]],Table1_2[[#This Row],[bmi score]],Table1_2[[#This Row],[Csmoking score]],Table1_2[[#This Row],[Condition score]],Table1_2[[#This Row],[Cholesterol score]],)</f>
        <v>4</v>
      </c>
      <c r="AD206" s="4" t="str">
        <f t="shared" si="35"/>
        <v>High risk</v>
      </c>
    </row>
    <row r="207" spans="1:30" x14ac:dyDescent="0.35">
      <c r="A207" s="4" t="s">
        <v>631</v>
      </c>
      <c r="B207" s="4" t="s">
        <v>632</v>
      </c>
      <c r="C207">
        <v>56</v>
      </c>
      <c r="D207" s="4" t="s">
        <v>32</v>
      </c>
      <c r="E207" s="4" t="s">
        <v>131</v>
      </c>
      <c r="F207" s="4" t="s">
        <v>52</v>
      </c>
      <c r="G207">
        <v>33.799999999999997</v>
      </c>
      <c r="H207">
        <v>127</v>
      </c>
      <c r="I207">
        <v>103</v>
      </c>
      <c r="J207">
        <v>248</v>
      </c>
      <c r="K207">
        <v>96</v>
      </c>
      <c r="L207" s="4" t="s">
        <v>861</v>
      </c>
      <c r="M207">
        <v>0</v>
      </c>
      <c r="N207">
        <v>7</v>
      </c>
      <c r="O207" s="4" t="s">
        <v>35</v>
      </c>
      <c r="P207" s="5">
        <v>44576</v>
      </c>
      <c r="Q207">
        <v>10</v>
      </c>
      <c r="R207">
        <v>1</v>
      </c>
      <c r="S207" s="4" t="s">
        <v>92</v>
      </c>
      <c r="T207" s="4" t="s">
        <v>863</v>
      </c>
      <c r="U207" t="str">
        <f t="shared" si="27"/>
        <v>Obese</v>
      </c>
      <c r="V207" s="4" t="str">
        <f t="shared" si="28"/>
        <v>Aged</v>
      </c>
      <c r="W207" s="4" t="str">
        <f t="shared" si="29"/>
        <v>High Bp</v>
      </c>
      <c r="X207" s="4">
        <f t="shared" si="30"/>
        <v>1</v>
      </c>
      <c r="Y207" s="4">
        <f t="shared" si="31"/>
        <v>1</v>
      </c>
      <c r="Z207" s="4">
        <f t="shared" si="32"/>
        <v>0</v>
      </c>
      <c r="AA207" s="4">
        <f t="shared" si="33"/>
        <v>1</v>
      </c>
      <c r="AB207" s="4">
        <f t="shared" si="34"/>
        <v>1</v>
      </c>
      <c r="AC207" s="4">
        <f>SUM(Table1_2[[#This Row],[bp score]],Table1_2[[#This Row],[bmi score]],Table1_2[[#This Row],[Csmoking score]],Table1_2[[#This Row],[Condition score]],Table1_2[[#This Row],[Cholesterol score]],)</f>
        <v>4</v>
      </c>
      <c r="AD207" s="4" t="str">
        <f t="shared" si="35"/>
        <v>High risk</v>
      </c>
    </row>
    <row r="208" spans="1:30" x14ac:dyDescent="0.35">
      <c r="A208" s="4" t="s">
        <v>634</v>
      </c>
      <c r="B208" s="4" t="s">
        <v>635</v>
      </c>
      <c r="C208">
        <v>38</v>
      </c>
      <c r="D208" s="4" t="s">
        <v>73</v>
      </c>
      <c r="E208" s="4" t="s">
        <v>33</v>
      </c>
      <c r="F208" s="4" t="s">
        <v>52</v>
      </c>
      <c r="G208">
        <v>39.799999999999997</v>
      </c>
      <c r="H208">
        <v>152</v>
      </c>
      <c r="I208">
        <v>84</v>
      </c>
      <c r="J208">
        <v>255</v>
      </c>
      <c r="K208">
        <v>231</v>
      </c>
      <c r="L208" s="4" t="s">
        <v>860</v>
      </c>
      <c r="M208">
        <v>6</v>
      </c>
      <c r="N208">
        <v>6</v>
      </c>
      <c r="O208" s="4" t="s">
        <v>25</v>
      </c>
      <c r="P208" s="5">
        <v>45600</v>
      </c>
      <c r="Q208">
        <v>17</v>
      </c>
      <c r="R208">
        <v>0</v>
      </c>
      <c r="S208" s="4" t="s">
        <v>78</v>
      </c>
      <c r="T208" s="4" t="s">
        <v>863</v>
      </c>
      <c r="U208" t="str">
        <f t="shared" si="27"/>
        <v>Obese</v>
      </c>
      <c r="V208" s="4" t="str">
        <f t="shared" si="28"/>
        <v>Adult</v>
      </c>
      <c r="W208" s="4" t="str">
        <f t="shared" si="29"/>
        <v>High Bp</v>
      </c>
      <c r="X208" s="4">
        <f t="shared" si="30"/>
        <v>1</v>
      </c>
      <c r="Y208" s="4">
        <f t="shared" si="31"/>
        <v>1</v>
      </c>
      <c r="Z208" s="4">
        <f t="shared" si="32"/>
        <v>0</v>
      </c>
      <c r="AA208" s="4">
        <f t="shared" si="33"/>
        <v>0</v>
      </c>
      <c r="AB208" s="4">
        <f t="shared" si="34"/>
        <v>1</v>
      </c>
      <c r="AC208" s="4">
        <f>SUM(Table1_2[[#This Row],[bp score]],Table1_2[[#This Row],[bmi score]],Table1_2[[#This Row],[Csmoking score]],Table1_2[[#This Row],[Condition score]],Table1_2[[#This Row],[Cholesterol score]],)</f>
        <v>3</v>
      </c>
      <c r="AD208" s="4" t="str">
        <f t="shared" si="35"/>
        <v>Medium risk</v>
      </c>
    </row>
    <row r="209" spans="1:30" x14ac:dyDescent="0.35">
      <c r="A209" s="4" t="s">
        <v>637</v>
      </c>
      <c r="B209" s="4" t="s">
        <v>372</v>
      </c>
      <c r="C209">
        <v>26</v>
      </c>
      <c r="D209" s="4" t="s">
        <v>73</v>
      </c>
      <c r="E209" s="4" t="s">
        <v>131</v>
      </c>
      <c r="F209" s="4" t="s">
        <v>82</v>
      </c>
      <c r="G209">
        <v>24.2</v>
      </c>
      <c r="H209">
        <v>138</v>
      </c>
      <c r="I209">
        <v>98</v>
      </c>
      <c r="J209">
        <v>162</v>
      </c>
      <c r="K209">
        <v>142</v>
      </c>
      <c r="L209" s="4" t="s">
        <v>859</v>
      </c>
      <c r="M209">
        <v>6</v>
      </c>
      <c r="N209">
        <v>7</v>
      </c>
      <c r="O209" s="4" t="s">
        <v>25</v>
      </c>
      <c r="P209" s="5">
        <v>45369</v>
      </c>
      <c r="Q209">
        <v>7</v>
      </c>
      <c r="R209">
        <v>4</v>
      </c>
      <c r="S209" s="4" t="s">
        <v>99</v>
      </c>
      <c r="T209" s="4" t="s">
        <v>100</v>
      </c>
      <c r="U209" t="str">
        <f t="shared" si="27"/>
        <v>Normal</v>
      </c>
      <c r="V209" s="4" t="str">
        <f t="shared" si="28"/>
        <v>Young adult</v>
      </c>
      <c r="W209" s="4" t="str">
        <f t="shared" si="29"/>
        <v>High Bp</v>
      </c>
      <c r="X209" s="4">
        <f t="shared" si="30"/>
        <v>1</v>
      </c>
      <c r="Y209" s="4">
        <f t="shared" si="31"/>
        <v>0</v>
      </c>
      <c r="Z209" s="4">
        <f t="shared" si="32"/>
        <v>1</v>
      </c>
      <c r="AA209" s="4">
        <f t="shared" si="33"/>
        <v>1</v>
      </c>
      <c r="AB209" s="4">
        <f t="shared" si="34"/>
        <v>0</v>
      </c>
      <c r="AC209" s="4">
        <f>SUM(Table1_2[[#This Row],[bp score]],Table1_2[[#This Row],[bmi score]],Table1_2[[#This Row],[Csmoking score]],Table1_2[[#This Row],[Condition score]],Table1_2[[#This Row],[Cholesterol score]],)</f>
        <v>3</v>
      </c>
      <c r="AD209" s="4" t="str">
        <f t="shared" si="35"/>
        <v>Medium risk</v>
      </c>
    </row>
    <row r="210" spans="1:30" x14ac:dyDescent="0.35">
      <c r="A210" s="4" t="s">
        <v>639</v>
      </c>
      <c r="B210" s="4" t="s">
        <v>384</v>
      </c>
      <c r="C210">
        <v>41</v>
      </c>
      <c r="D210" s="4" t="s">
        <v>73</v>
      </c>
      <c r="E210" s="4" t="s">
        <v>161</v>
      </c>
      <c r="F210" s="4" t="s">
        <v>75</v>
      </c>
      <c r="G210">
        <v>38.9</v>
      </c>
      <c r="H210">
        <v>118</v>
      </c>
      <c r="I210">
        <v>67</v>
      </c>
      <c r="J210">
        <v>150</v>
      </c>
      <c r="K210">
        <v>71</v>
      </c>
      <c r="L210" s="4" t="s">
        <v>100</v>
      </c>
      <c r="M210">
        <v>0</v>
      </c>
      <c r="N210">
        <v>7</v>
      </c>
      <c r="O210" s="4" t="s">
        <v>35</v>
      </c>
      <c r="P210" s="5">
        <v>45040</v>
      </c>
      <c r="Q210">
        <v>11</v>
      </c>
      <c r="R210">
        <v>6</v>
      </c>
      <c r="S210" s="4" t="s">
        <v>99</v>
      </c>
      <c r="T210" s="4" t="s">
        <v>100</v>
      </c>
      <c r="U210" t="str">
        <f t="shared" si="27"/>
        <v>Obese</v>
      </c>
      <c r="V210" s="4" t="str">
        <f t="shared" si="28"/>
        <v>Elder</v>
      </c>
      <c r="W210" s="4" t="str">
        <f t="shared" si="29"/>
        <v>Normal</v>
      </c>
      <c r="X210" s="4">
        <f t="shared" si="30"/>
        <v>0</v>
      </c>
      <c r="Y210" s="4">
        <f t="shared" si="31"/>
        <v>1</v>
      </c>
      <c r="Z210" s="4">
        <f t="shared" si="32"/>
        <v>0</v>
      </c>
      <c r="AA210" s="4">
        <f t="shared" si="33"/>
        <v>1</v>
      </c>
      <c r="AB210" s="4">
        <f t="shared" si="34"/>
        <v>0</v>
      </c>
      <c r="AC210" s="4">
        <f>SUM(Table1_2[[#This Row],[bp score]],Table1_2[[#This Row],[bmi score]],Table1_2[[#This Row],[Csmoking score]],Table1_2[[#This Row],[Condition score]],Table1_2[[#This Row],[Cholesterol score]],)</f>
        <v>2</v>
      </c>
      <c r="AD210" s="4" t="str">
        <f t="shared" si="35"/>
        <v>Medium risk</v>
      </c>
    </row>
    <row r="211" spans="1:30" x14ac:dyDescent="0.35">
      <c r="A211" s="4" t="s">
        <v>641</v>
      </c>
      <c r="B211" s="4" t="s">
        <v>523</v>
      </c>
      <c r="C211">
        <v>33</v>
      </c>
      <c r="D211" s="4" t="s">
        <v>73</v>
      </c>
      <c r="E211" s="4" t="s">
        <v>33</v>
      </c>
      <c r="F211" s="4" t="s">
        <v>57</v>
      </c>
      <c r="G211">
        <v>21.9</v>
      </c>
      <c r="H211">
        <v>123</v>
      </c>
      <c r="I211">
        <v>102</v>
      </c>
      <c r="J211">
        <v>153</v>
      </c>
      <c r="K211">
        <v>210</v>
      </c>
      <c r="L211" s="4" t="s">
        <v>859</v>
      </c>
      <c r="M211">
        <v>7</v>
      </c>
      <c r="N211">
        <v>9</v>
      </c>
      <c r="O211" s="4" t="s">
        <v>35</v>
      </c>
      <c r="P211" s="5" t="s">
        <v>54</v>
      </c>
      <c r="Q211">
        <v>3</v>
      </c>
      <c r="R211">
        <v>6</v>
      </c>
      <c r="S211" s="4" t="s">
        <v>46</v>
      </c>
      <c r="T211" s="4" t="s">
        <v>100</v>
      </c>
      <c r="U211" t="str">
        <f t="shared" si="27"/>
        <v>Normal</v>
      </c>
      <c r="V211" s="4" t="str">
        <f t="shared" si="28"/>
        <v>Adult</v>
      </c>
      <c r="W211" s="4" t="str">
        <f t="shared" si="29"/>
        <v>High Bp</v>
      </c>
      <c r="X211" s="4">
        <f t="shared" si="30"/>
        <v>1</v>
      </c>
      <c r="Y211" s="4">
        <f t="shared" si="31"/>
        <v>0</v>
      </c>
      <c r="Z211" s="4">
        <f t="shared" si="32"/>
        <v>1</v>
      </c>
      <c r="AA211" s="4">
        <f t="shared" si="33"/>
        <v>0</v>
      </c>
      <c r="AB211" s="4">
        <f t="shared" si="34"/>
        <v>0</v>
      </c>
      <c r="AC211" s="4">
        <f>SUM(Table1_2[[#This Row],[bp score]],Table1_2[[#This Row],[bmi score]],Table1_2[[#This Row],[Csmoking score]],Table1_2[[#This Row],[Condition score]],Table1_2[[#This Row],[Cholesterol score]],)</f>
        <v>2</v>
      </c>
      <c r="AD211" s="4" t="str">
        <f t="shared" si="35"/>
        <v>Medium risk</v>
      </c>
    </row>
    <row r="212" spans="1:30" x14ac:dyDescent="0.35">
      <c r="A212" s="4" t="s">
        <v>642</v>
      </c>
      <c r="B212" s="4" t="s">
        <v>643</v>
      </c>
      <c r="C212">
        <v>30</v>
      </c>
      <c r="D212" s="4" t="s">
        <v>73</v>
      </c>
      <c r="E212" s="4" t="s">
        <v>131</v>
      </c>
      <c r="F212" s="4" t="s">
        <v>57</v>
      </c>
      <c r="G212">
        <v>32.5</v>
      </c>
      <c r="H212">
        <v>124</v>
      </c>
      <c r="I212">
        <v>80</v>
      </c>
      <c r="J212">
        <v>264</v>
      </c>
      <c r="K212">
        <v>185</v>
      </c>
      <c r="L212" s="4" t="s">
        <v>860</v>
      </c>
      <c r="M212">
        <v>0</v>
      </c>
      <c r="N212">
        <v>5</v>
      </c>
      <c r="O212" s="4" t="s">
        <v>25</v>
      </c>
      <c r="P212" s="5">
        <v>45091</v>
      </c>
      <c r="Q212">
        <v>5</v>
      </c>
      <c r="R212">
        <v>0</v>
      </c>
      <c r="S212" s="4" t="s">
        <v>78</v>
      </c>
      <c r="T212" s="4" t="s">
        <v>862</v>
      </c>
      <c r="U212" t="str">
        <f t="shared" si="27"/>
        <v>Obese</v>
      </c>
      <c r="V212" s="4" t="str">
        <f t="shared" si="28"/>
        <v>Young adult</v>
      </c>
      <c r="W212" s="4" t="str">
        <f t="shared" si="29"/>
        <v>High Bp</v>
      </c>
      <c r="X212" s="4">
        <f t="shared" si="30"/>
        <v>1</v>
      </c>
      <c r="Y212" s="4">
        <f t="shared" si="31"/>
        <v>1</v>
      </c>
      <c r="Z212" s="4">
        <f t="shared" si="32"/>
        <v>0</v>
      </c>
      <c r="AA212" s="4">
        <f t="shared" si="33"/>
        <v>0</v>
      </c>
      <c r="AB212" s="4">
        <f t="shared" si="34"/>
        <v>1</v>
      </c>
      <c r="AC212" s="4">
        <f>SUM(Table1_2[[#This Row],[bp score]],Table1_2[[#This Row],[bmi score]],Table1_2[[#This Row],[Csmoking score]],Table1_2[[#This Row],[Condition score]],Table1_2[[#This Row],[Cholesterol score]],)</f>
        <v>3</v>
      </c>
      <c r="AD212" s="4" t="str">
        <f t="shared" si="35"/>
        <v>Medium risk</v>
      </c>
    </row>
    <row r="213" spans="1:30" x14ac:dyDescent="0.35">
      <c r="A213" s="4" t="s">
        <v>645</v>
      </c>
      <c r="B213" s="4" t="s">
        <v>646</v>
      </c>
      <c r="C213">
        <v>39</v>
      </c>
      <c r="D213" s="4" t="s">
        <v>73</v>
      </c>
      <c r="E213" s="4" t="s">
        <v>33</v>
      </c>
      <c r="F213" s="4" t="s">
        <v>117</v>
      </c>
      <c r="G213">
        <v>38.9</v>
      </c>
      <c r="H213">
        <v>159</v>
      </c>
      <c r="I213">
        <v>88</v>
      </c>
      <c r="J213">
        <v>231</v>
      </c>
      <c r="K213">
        <v>148</v>
      </c>
      <c r="L213" s="4" t="s">
        <v>859</v>
      </c>
      <c r="M213">
        <v>0</v>
      </c>
      <c r="N213">
        <v>2</v>
      </c>
      <c r="O213" s="4" t="s">
        <v>25</v>
      </c>
      <c r="P213" s="5">
        <v>44344</v>
      </c>
      <c r="Q213">
        <v>4</v>
      </c>
      <c r="R213">
        <v>17</v>
      </c>
      <c r="S213" s="4" t="s">
        <v>78</v>
      </c>
      <c r="T213" s="4" t="s">
        <v>863</v>
      </c>
      <c r="U213" t="str">
        <f t="shared" si="27"/>
        <v>Obese</v>
      </c>
      <c r="V213" s="4" t="str">
        <f t="shared" si="28"/>
        <v>Adult</v>
      </c>
      <c r="W213" s="4" t="str">
        <f t="shared" si="29"/>
        <v>High Bp</v>
      </c>
      <c r="X213" s="4">
        <f t="shared" si="30"/>
        <v>1</v>
      </c>
      <c r="Y213" s="4">
        <f t="shared" si="31"/>
        <v>1</v>
      </c>
      <c r="Z213" s="4">
        <f t="shared" si="32"/>
        <v>1</v>
      </c>
      <c r="AA213" s="4">
        <f t="shared" si="33"/>
        <v>0</v>
      </c>
      <c r="AB213" s="4">
        <f t="shared" si="34"/>
        <v>1</v>
      </c>
      <c r="AC213" s="4">
        <f>SUM(Table1_2[[#This Row],[bp score]],Table1_2[[#This Row],[bmi score]],Table1_2[[#This Row],[Csmoking score]],Table1_2[[#This Row],[Condition score]],Table1_2[[#This Row],[Cholesterol score]],)</f>
        <v>4</v>
      </c>
      <c r="AD213" s="4" t="str">
        <f t="shared" si="35"/>
        <v>High risk</v>
      </c>
    </row>
    <row r="214" spans="1:30" x14ac:dyDescent="0.35">
      <c r="A214" s="4" t="s">
        <v>647</v>
      </c>
      <c r="B214" s="4" t="s">
        <v>648</v>
      </c>
      <c r="C214">
        <v>23</v>
      </c>
      <c r="D214" s="4" t="s">
        <v>32</v>
      </c>
      <c r="E214" s="4" t="s">
        <v>33</v>
      </c>
      <c r="F214" s="4" t="s">
        <v>66</v>
      </c>
      <c r="G214">
        <v>27.1</v>
      </c>
      <c r="H214">
        <v>127</v>
      </c>
      <c r="I214">
        <v>62</v>
      </c>
      <c r="J214">
        <v>206</v>
      </c>
      <c r="K214">
        <v>209</v>
      </c>
      <c r="L214" s="4" t="s">
        <v>860</v>
      </c>
      <c r="M214">
        <v>7</v>
      </c>
      <c r="N214">
        <v>3</v>
      </c>
      <c r="O214" s="4" t="s">
        <v>35</v>
      </c>
      <c r="P214" s="5">
        <v>45407</v>
      </c>
      <c r="Q214">
        <v>18</v>
      </c>
      <c r="R214">
        <v>9</v>
      </c>
      <c r="S214" s="4" t="s">
        <v>60</v>
      </c>
      <c r="T214" s="4" t="s">
        <v>100</v>
      </c>
      <c r="U214" t="str">
        <f t="shared" si="27"/>
        <v>Overweight</v>
      </c>
      <c r="V214" s="4" t="str">
        <f t="shared" si="28"/>
        <v>Young adult</v>
      </c>
      <c r="W214" s="4" t="str">
        <f t="shared" si="29"/>
        <v>Elevated</v>
      </c>
      <c r="X214" s="4">
        <f t="shared" si="30"/>
        <v>0</v>
      </c>
      <c r="Y214" s="4">
        <f t="shared" si="31"/>
        <v>0</v>
      </c>
      <c r="Z214" s="4">
        <f t="shared" si="32"/>
        <v>0</v>
      </c>
      <c r="AA214" s="4">
        <f t="shared" si="33"/>
        <v>1</v>
      </c>
      <c r="AB214" s="4">
        <f t="shared" si="34"/>
        <v>1</v>
      </c>
      <c r="AC214" s="4">
        <f>SUM(Table1_2[[#This Row],[bp score]],Table1_2[[#This Row],[bmi score]],Table1_2[[#This Row],[Csmoking score]],Table1_2[[#This Row],[Condition score]],Table1_2[[#This Row],[Cholesterol score]],)</f>
        <v>2</v>
      </c>
      <c r="AD214" s="4" t="str">
        <f t="shared" si="35"/>
        <v>Medium risk</v>
      </c>
    </row>
    <row r="215" spans="1:30" x14ac:dyDescent="0.35">
      <c r="A215" s="4" t="s">
        <v>650</v>
      </c>
      <c r="B215" s="4" t="s">
        <v>651</v>
      </c>
      <c r="C215">
        <v>27</v>
      </c>
      <c r="D215" s="4" t="s">
        <v>32</v>
      </c>
      <c r="E215" s="4" t="s">
        <v>127</v>
      </c>
      <c r="F215" s="4" t="s">
        <v>75</v>
      </c>
      <c r="G215">
        <v>17.3</v>
      </c>
      <c r="H215">
        <v>130</v>
      </c>
      <c r="I215">
        <v>99</v>
      </c>
      <c r="J215">
        <v>182</v>
      </c>
      <c r="K215">
        <v>201</v>
      </c>
      <c r="L215" s="4" t="s">
        <v>860</v>
      </c>
      <c r="M215">
        <v>7</v>
      </c>
      <c r="N215">
        <v>3</v>
      </c>
      <c r="O215" s="4" t="s">
        <v>25</v>
      </c>
      <c r="P215" s="5">
        <v>44919</v>
      </c>
      <c r="Q215">
        <v>15</v>
      </c>
      <c r="R215">
        <v>11</v>
      </c>
      <c r="S215" s="4" t="s">
        <v>99</v>
      </c>
      <c r="T215" s="4" t="s">
        <v>862</v>
      </c>
      <c r="U215" t="str">
        <f t="shared" si="27"/>
        <v>Underweight</v>
      </c>
      <c r="V215" s="4" t="str">
        <f t="shared" si="28"/>
        <v>Young adult</v>
      </c>
      <c r="W215" s="4" t="str">
        <f t="shared" si="29"/>
        <v>High Bp</v>
      </c>
      <c r="X215" s="4">
        <f t="shared" si="30"/>
        <v>1</v>
      </c>
      <c r="Y215" s="4">
        <f t="shared" si="31"/>
        <v>0</v>
      </c>
      <c r="Z215" s="4">
        <f t="shared" si="32"/>
        <v>0</v>
      </c>
      <c r="AA215" s="4">
        <f t="shared" si="33"/>
        <v>1</v>
      </c>
      <c r="AB215" s="4">
        <f t="shared" si="34"/>
        <v>0</v>
      </c>
      <c r="AC215" s="4">
        <f>SUM(Table1_2[[#This Row],[bp score]],Table1_2[[#This Row],[bmi score]],Table1_2[[#This Row],[Csmoking score]],Table1_2[[#This Row],[Condition score]],Table1_2[[#This Row],[Cholesterol score]],)</f>
        <v>2</v>
      </c>
      <c r="AD215" s="4" t="str">
        <f t="shared" si="35"/>
        <v>Medium risk</v>
      </c>
    </row>
    <row r="216" spans="1:30" x14ac:dyDescent="0.35">
      <c r="A216" s="4" t="s">
        <v>653</v>
      </c>
      <c r="B216" s="4" t="s">
        <v>654</v>
      </c>
      <c r="C216">
        <v>26</v>
      </c>
      <c r="D216" s="4" t="s">
        <v>32</v>
      </c>
      <c r="E216" s="4" t="s">
        <v>127</v>
      </c>
      <c r="F216" s="4" t="s">
        <v>52</v>
      </c>
      <c r="G216">
        <v>18.100000000000001</v>
      </c>
      <c r="H216">
        <v>126</v>
      </c>
      <c r="I216">
        <v>93</v>
      </c>
      <c r="J216">
        <v>232</v>
      </c>
      <c r="K216">
        <v>169</v>
      </c>
      <c r="L216" s="4" t="s">
        <v>859</v>
      </c>
      <c r="M216">
        <v>7</v>
      </c>
      <c r="N216">
        <v>1</v>
      </c>
      <c r="O216" s="4" t="s">
        <v>25</v>
      </c>
      <c r="P216" s="5">
        <v>44980</v>
      </c>
      <c r="Q216">
        <v>16</v>
      </c>
      <c r="R216">
        <v>20</v>
      </c>
      <c r="S216" s="4" t="s">
        <v>78</v>
      </c>
      <c r="T216" s="4" t="s">
        <v>863</v>
      </c>
      <c r="U216" t="str">
        <f t="shared" si="27"/>
        <v>Underweight</v>
      </c>
      <c r="V216" s="4" t="str">
        <f t="shared" si="28"/>
        <v>Young adult</v>
      </c>
      <c r="W216" s="4" t="str">
        <f t="shared" si="29"/>
        <v>High Bp</v>
      </c>
      <c r="X216" s="4">
        <f t="shared" si="30"/>
        <v>1</v>
      </c>
      <c r="Y216" s="4">
        <f t="shared" si="31"/>
        <v>0</v>
      </c>
      <c r="Z216" s="4">
        <f t="shared" si="32"/>
        <v>1</v>
      </c>
      <c r="AA216" s="4">
        <f t="shared" si="33"/>
        <v>0</v>
      </c>
      <c r="AB216" s="4">
        <f t="shared" si="34"/>
        <v>1</v>
      </c>
      <c r="AC216" s="4">
        <f>SUM(Table1_2[[#This Row],[bp score]],Table1_2[[#This Row],[bmi score]],Table1_2[[#This Row],[Csmoking score]],Table1_2[[#This Row],[Condition score]],Table1_2[[#This Row],[Cholesterol score]],)</f>
        <v>3</v>
      </c>
      <c r="AD216" s="4" t="str">
        <f t="shared" si="35"/>
        <v>Medium risk</v>
      </c>
    </row>
    <row r="217" spans="1:30" x14ac:dyDescent="0.35">
      <c r="A217" s="4" t="s">
        <v>656</v>
      </c>
      <c r="B217" s="4" t="s">
        <v>557</v>
      </c>
      <c r="C217">
        <v>58</v>
      </c>
      <c r="D217" s="4" t="s">
        <v>32</v>
      </c>
      <c r="E217" s="4" t="s">
        <v>65</v>
      </c>
      <c r="F217" s="4" t="s">
        <v>82</v>
      </c>
      <c r="G217">
        <v>26.1</v>
      </c>
      <c r="H217">
        <v>109</v>
      </c>
      <c r="I217">
        <v>93</v>
      </c>
      <c r="J217">
        <v>204</v>
      </c>
      <c r="K217">
        <v>166</v>
      </c>
      <c r="L217" s="4" t="s">
        <v>861</v>
      </c>
      <c r="M217">
        <v>0</v>
      </c>
      <c r="N217">
        <v>7</v>
      </c>
      <c r="O217" s="4" t="s">
        <v>35</v>
      </c>
      <c r="P217" s="5">
        <v>45164</v>
      </c>
      <c r="Q217">
        <v>15</v>
      </c>
      <c r="R217">
        <v>19</v>
      </c>
      <c r="S217" s="4" t="s">
        <v>99</v>
      </c>
      <c r="T217" s="4" t="s">
        <v>100</v>
      </c>
      <c r="U217" t="str">
        <f t="shared" si="27"/>
        <v>Overweight</v>
      </c>
      <c r="V217" s="4" t="str">
        <f t="shared" si="28"/>
        <v>Aged</v>
      </c>
      <c r="W217" s="4" t="str">
        <f t="shared" si="29"/>
        <v>High Bp</v>
      </c>
      <c r="X217" s="4">
        <f t="shared" si="30"/>
        <v>1</v>
      </c>
      <c r="Y217" s="4">
        <f t="shared" si="31"/>
        <v>0</v>
      </c>
      <c r="Z217" s="4">
        <f t="shared" si="32"/>
        <v>0</v>
      </c>
      <c r="AA217" s="4">
        <f t="shared" si="33"/>
        <v>1</v>
      </c>
      <c r="AB217" s="4">
        <f t="shared" si="34"/>
        <v>1</v>
      </c>
      <c r="AC217" s="4">
        <f>SUM(Table1_2[[#This Row],[bp score]],Table1_2[[#This Row],[bmi score]],Table1_2[[#This Row],[Csmoking score]],Table1_2[[#This Row],[Condition score]],Table1_2[[#This Row],[Cholesterol score]],)</f>
        <v>3</v>
      </c>
      <c r="AD217" s="4" t="str">
        <f t="shared" si="35"/>
        <v>Medium risk</v>
      </c>
    </row>
    <row r="218" spans="1:30" x14ac:dyDescent="0.35">
      <c r="A218" s="4" t="s">
        <v>658</v>
      </c>
      <c r="B218" s="4" t="s">
        <v>151</v>
      </c>
      <c r="C218">
        <v>32</v>
      </c>
      <c r="D218" s="4" t="s">
        <v>73</v>
      </c>
      <c r="E218" s="4" t="s">
        <v>131</v>
      </c>
      <c r="F218" s="4" t="s">
        <v>75</v>
      </c>
      <c r="G218">
        <v>33.1</v>
      </c>
      <c r="H218">
        <v>127</v>
      </c>
      <c r="I218">
        <v>69</v>
      </c>
      <c r="J218">
        <v>187</v>
      </c>
      <c r="K218">
        <v>110</v>
      </c>
      <c r="L218" s="4" t="s">
        <v>860</v>
      </c>
      <c r="M218">
        <v>0</v>
      </c>
      <c r="N218">
        <v>2</v>
      </c>
      <c r="O218" s="4" t="s">
        <v>35</v>
      </c>
      <c r="P218" s="5">
        <v>45467</v>
      </c>
      <c r="Q218">
        <v>3</v>
      </c>
      <c r="R218">
        <v>15</v>
      </c>
      <c r="S218" s="4" t="s">
        <v>78</v>
      </c>
      <c r="T218" s="4" t="s">
        <v>100</v>
      </c>
      <c r="U218" t="str">
        <f t="shared" si="27"/>
        <v>Obese</v>
      </c>
      <c r="V218" s="4" t="str">
        <f t="shared" si="28"/>
        <v>Adult</v>
      </c>
      <c r="W218" s="4" t="str">
        <f t="shared" si="29"/>
        <v>Elevated</v>
      </c>
      <c r="X218" s="4">
        <f t="shared" si="30"/>
        <v>0</v>
      </c>
      <c r="Y218" s="4">
        <f t="shared" si="31"/>
        <v>1</v>
      </c>
      <c r="Z218" s="4">
        <f t="shared" si="32"/>
        <v>0</v>
      </c>
      <c r="AA218" s="4">
        <f t="shared" si="33"/>
        <v>0</v>
      </c>
      <c r="AB218" s="4">
        <f t="shared" si="34"/>
        <v>0</v>
      </c>
      <c r="AC218" s="4">
        <f>SUM(Table1_2[[#This Row],[bp score]],Table1_2[[#This Row],[bmi score]],Table1_2[[#This Row],[Csmoking score]],Table1_2[[#This Row],[Condition score]],Table1_2[[#This Row],[Cholesterol score]],)</f>
        <v>1</v>
      </c>
      <c r="AD218" s="4" t="str">
        <f t="shared" si="35"/>
        <v>Low risk</v>
      </c>
    </row>
    <row r="219" spans="1:30" x14ac:dyDescent="0.35">
      <c r="A219" s="4" t="s">
        <v>660</v>
      </c>
      <c r="B219" s="4" t="s">
        <v>661</v>
      </c>
      <c r="C219">
        <v>59</v>
      </c>
      <c r="D219" s="4" t="s">
        <v>32</v>
      </c>
      <c r="E219" s="4" t="s">
        <v>65</v>
      </c>
      <c r="F219" s="4" t="s">
        <v>117</v>
      </c>
      <c r="G219">
        <v>23.1</v>
      </c>
      <c r="H219">
        <v>116</v>
      </c>
      <c r="I219">
        <v>96</v>
      </c>
      <c r="J219">
        <v>181</v>
      </c>
      <c r="K219">
        <v>104</v>
      </c>
      <c r="L219" s="4" t="s">
        <v>860</v>
      </c>
      <c r="M219">
        <v>0</v>
      </c>
      <c r="N219">
        <v>10</v>
      </c>
      <c r="O219" s="4" t="s">
        <v>25</v>
      </c>
      <c r="P219" s="5">
        <v>44264</v>
      </c>
      <c r="Q219">
        <v>5</v>
      </c>
      <c r="R219">
        <v>16</v>
      </c>
      <c r="S219" s="4" t="s">
        <v>99</v>
      </c>
      <c r="T219" s="4" t="s">
        <v>862</v>
      </c>
      <c r="U219" t="str">
        <f t="shared" si="27"/>
        <v>Normal</v>
      </c>
      <c r="V219" s="4" t="str">
        <f t="shared" si="28"/>
        <v>Aged</v>
      </c>
      <c r="W219" s="4" t="str">
        <f t="shared" si="29"/>
        <v>High Bp</v>
      </c>
      <c r="X219" s="4">
        <f t="shared" si="30"/>
        <v>1</v>
      </c>
      <c r="Y219" s="4">
        <f t="shared" si="31"/>
        <v>0</v>
      </c>
      <c r="Z219" s="4">
        <f t="shared" si="32"/>
        <v>0</v>
      </c>
      <c r="AA219" s="4">
        <f t="shared" si="33"/>
        <v>1</v>
      </c>
      <c r="AB219" s="4">
        <f t="shared" si="34"/>
        <v>0</v>
      </c>
      <c r="AC219" s="4">
        <f>SUM(Table1_2[[#This Row],[bp score]],Table1_2[[#This Row],[bmi score]],Table1_2[[#This Row],[Csmoking score]],Table1_2[[#This Row],[Condition score]],Table1_2[[#This Row],[Cholesterol score]],)</f>
        <v>2</v>
      </c>
      <c r="AD219" s="4" t="str">
        <f t="shared" si="35"/>
        <v>Medium risk</v>
      </c>
    </row>
    <row r="220" spans="1:30" x14ac:dyDescent="0.35">
      <c r="A220" s="4" t="s">
        <v>663</v>
      </c>
      <c r="B220" s="4" t="s">
        <v>664</v>
      </c>
      <c r="C220">
        <v>35</v>
      </c>
      <c r="D220" s="4" t="s">
        <v>73</v>
      </c>
      <c r="E220" s="4" t="s">
        <v>33</v>
      </c>
      <c r="F220" s="4" t="s">
        <v>90</v>
      </c>
      <c r="G220">
        <v>38.700000000000003</v>
      </c>
      <c r="H220">
        <v>121</v>
      </c>
      <c r="I220">
        <v>74</v>
      </c>
      <c r="J220">
        <v>245</v>
      </c>
      <c r="K220">
        <v>223</v>
      </c>
      <c r="L220" s="4" t="s">
        <v>860</v>
      </c>
      <c r="M220">
        <v>0</v>
      </c>
      <c r="N220">
        <v>3</v>
      </c>
      <c r="O220" s="4" t="s">
        <v>25</v>
      </c>
      <c r="P220" s="5">
        <v>44917</v>
      </c>
      <c r="Q220">
        <v>10</v>
      </c>
      <c r="R220">
        <v>14</v>
      </c>
      <c r="S220" s="4" t="s">
        <v>46</v>
      </c>
      <c r="T220" s="4" t="s">
        <v>863</v>
      </c>
      <c r="U220" t="str">
        <f t="shared" si="27"/>
        <v>Obese</v>
      </c>
      <c r="V220" s="4" t="str">
        <f t="shared" si="28"/>
        <v>Adult</v>
      </c>
      <c r="W220" s="4" t="str">
        <f t="shared" si="29"/>
        <v>Elevated</v>
      </c>
      <c r="X220" s="4">
        <f t="shared" si="30"/>
        <v>0</v>
      </c>
      <c r="Y220" s="4">
        <f t="shared" si="31"/>
        <v>1</v>
      </c>
      <c r="Z220" s="4">
        <f t="shared" si="32"/>
        <v>0</v>
      </c>
      <c r="AA220" s="4">
        <f t="shared" si="33"/>
        <v>0</v>
      </c>
      <c r="AB220" s="4">
        <f t="shared" si="34"/>
        <v>1</v>
      </c>
      <c r="AC220" s="4">
        <f>SUM(Table1_2[[#This Row],[bp score]],Table1_2[[#This Row],[bmi score]],Table1_2[[#This Row],[Csmoking score]],Table1_2[[#This Row],[Condition score]],Table1_2[[#This Row],[Cholesterol score]],)</f>
        <v>2</v>
      </c>
      <c r="AD220" s="4" t="str">
        <f t="shared" si="35"/>
        <v>Medium risk</v>
      </c>
    </row>
    <row r="221" spans="1:30" x14ac:dyDescent="0.35">
      <c r="A221" s="4" t="s">
        <v>666</v>
      </c>
      <c r="B221" s="4" t="s">
        <v>145</v>
      </c>
      <c r="C221">
        <v>46</v>
      </c>
      <c r="D221" s="4" t="s">
        <v>32</v>
      </c>
      <c r="E221" s="4" t="s">
        <v>131</v>
      </c>
      <c r="F221" s="4" t="s">
        <v>117</v>
      </c>
      <c r="G221">
        <v>22.1</v>
      </c>
      <c r="H221">
        <v>164</v>
      </c>
      <c r="I221">
        <v>103</v>
      </c>
      <c r="J221">
        <v>213</v>
      </c>
      <c r="K221">
        <v>108</v>
      </c>
      <c r="L221" s="4" t="s">
        <v>100</v>
      </c>
      <c r="M221">
        <v>1</v>
      </c>
      <c r="N221">
        <v>3</v>
      </c>
      <c r="O221" s="4" t="s">
        <v>35</v>
      </c>
      <c r="P221" s="5">
        <v>44456</v>
      </c>
      <c r="Q221">
        <v>3</v>
      </c>
      <c r="R221">
        <v>2</v>
      </c>
      <c r="S221" s="4" t="s">
        <v>92</v>
      </c>
      <c r="T221" s="4" t="s">
        <v>864</v>
      </c>
      <c r="U221" t="str">
        <f t="shared" si="27"/>
        <v>Normal</v>
      </c>
      <c r="V221" s="4" t="str">
        <f t="shared" si="28"/>
        <v>Elder</v>
      </c>
      <c r="W221" s="4" t="str">
        <f t="shared" si="29"/>
        <v>High Bp</v>
      </c>
      <c r="X221" s="4">
        <f t="shared" si="30"/>
        <v>1</v>
      </c>
      <c r="Y221" s="4">
        <f t="shared" si="31"/>
        <v>0</v>
      </c>
      <c r="Z221" s="4">
        <f t="shared" si="32"/>
        <v>0</v>
      </c>
      <c r="AA221" s="4">
        <f t="shared" si="33"/>
        <v>1</v>
      </c>
      <c r="AB221" s="4">
        <f t="shared" si="34"/>
        <v>1</v>
      </c>
      <c r="AC221" s="4">
        <f>SUM(Table1_2[[#This Row],[bp score]],Table1_2[[#This Row],[bmi score]],Table1_2[[#This Row],[Csmoking score]],Table1_2[[#This Row],[Condition score]],Table1_2[[#This Row],[Cholesterol score]],)</f>
        <v>3</v>
      </c>
      <c r="AD221" s="4" t="str">
        <f t="shared" si="35"/>
        <v>Medium risk</v>
      </c>
    </row>
    <row r="222" spans="1:30" x14ac:dyDescent="0.35">
      <c r="A222" s="4" t="s">
        <v>668</v>
      </c>
      <c r="B222" s="4" t="s">
        <v>669</v>
      </c>
      <c r="C222">
        <v>22</v>
      </c>
      <c r="D222" s="4" t="s">
        <v>32</v>
      </c>
      <c r="E222" s="4" t="s">
        <v>131</v>
      </c>
      <c r="F222" s="4" t="s">
        <v>82</v>
      </c>
      <c r="G222">
        <v>26.3</v>
      </c>
      <c r="H222">
        <v>105</v>
      </c>
      <c r="I222">
        <v>104</v>
      </c>
      <c r="J222">
        <v>275</v>
      </c>
      <c r="K222">
        <v>179</v>
      </c>
      <c r="L222" s="4" t="s">
        <v>861</v>
      </c>
      <c r="M222">
        <v>7</v>
      </c>
      <c r="N222">
        <v>7</v>
      </c>
      <c r="O222" s="4" t="s">
        <v>35</v>
      </c>
      <c r="P222" s="5">
        <v>44382</v>
      </c>
      <c r="Q222">
        <v>8</v>
      </c>
      <c r="R222">
        <v>15</v>
      </c>
      <c r="S222" s="4" t="s">
        <v>78</v>
      </c>
      <c r="T222" s="4" t="s">
        <v>863</v>
      </c>
      <c r="U222" t="str">
        <f t="shared" si="27"/>
        <v>Overweight</v>
      </c>
      <c r="V222" s="4" t="str">
        <f t="shared" si="28"/>
        <v>Young adult</v>
      </c>
      <c r="W222" s="4" t="str">
        <f t="shared" si="29"/>
        <v>High Bp</v>
      </c>
      <c r="X222" s="4">
        <f t="shared" si="30"/>
        <v>1</v>
      </c>
      <c r="Y222" s="4">
        <f t="shared" si="31"/>
        <v>0</v>
      </c>
      <c r="Z222" s="4">
        <f t="shared" si="32"/>
        <v>0</v>
      </c>
      <c r="AA222" s="4">
        <f t="shared" si="33"/>
        <v>0</v>
      </c>
      <c r="AB222" s="4">
        <f t="shared" si="34"/>
        <v>1</v>
      </c>
      <c r="AC222" s="4">
        <f>SUM(Table1_2[[#This Row],[bp score]],Table1_2[[#This Row],[bmi score]],Table1_2[[#This Row],[Csmoking score]],Table1_2[[#This Row],[Condition score]],Table1_2[[#This Row],[Cholesterol score]],)</f>
        <v>2</v>
      </c>
      <c r="AD222" s="4" t="str">
        <f t="shared" si="35"/>
        <v>Medium risk</v>
      </c>
    </row>
    <row r="223" spans="1:30" x14ac:dyDescent="0.35">
      <c r="A223" s="4" t="s">
        <v>670</v>
      </c>
      <c r="B223" s="4" t="s">
        <v>671</v>
      </c>
      <c r="C223">
        <v>56</v>
      </c>
      <c r="D223" s="4" t="s">
        <v>32</v>
      </c>
      <c r="E223" s="4" t="s">
        <v>74</v>
      </c>
      <c r="F223" s="4" t="s">
        <v>52</v>
      </c>
      <c r="G223">
        <v>17.100000000000001</v>
      </c>
      <c r="H223">
        <v>100</v>
      </c>
      <c r="I223">
        <v>96</v>
      </c>
      <c r="J223">
        <v>273</v>
      </c>
      <c r="K223">
        <v>100</v>
      </c>
      <c r="L223" s="4" t="s">
        <v>860</v>
      </c>
      <c r="M223">
        <v>0</v>
      </c>
      <c r="N223">
        <v>7</v>
      </c>
      <c r="O223" s="4" t="s">
        <v>35</v>
      </c>
      <c r="P223" s="5">
        <v>45119</v>
      </c>
      <c r="Q223">
        <v>3</v>
      </c>
      <c r="R223">
        <v>4</v>
      </c>
      <c r="S223" s="4" t="s">
        <v>99</v>
      </c>
      <c r="T223" s="4" t="s">
        <v>863</v>
      </c>
      <c r="U223" t="str">
        <f t="shared" si="27"/>
        <v>Underweight</v>
      </c>
      <c r="V223" s="4" t="str">
        <f t="shared" si="28"/>
        <v>Aged</v>
      </c>
      <c r="W223" s="4" t="str">
        <f t="shared" si="29"/>
        <v>High Bp</v>
      </c>
      <c r="X223" s="4">
        <f t="shared" si="30"/>
        <v>1</v>
      </c>
      <c r="Y223" s="4">
        <f t="shared" si="31"/>
        <v>0</v>
      </c>
      <c r="Z223" s="4">
        <f t="shared" si="32"/>
        <v>0</v>
      </c>
      <c r="AA223" s="4">
        <f t="shared" si="33"/>
        <v>1</v>
      </c>
      <c r="AB223" s="4">
        <f t="shared" si="34"/>
        <v>1</v>
      </c>
      <c r="AC223" s="4">
        <f>SUM(Table1_2[[#This Row],[bp score]],Table1_2[[#This Row],[bmi score]],Table1_2[[#This Row],[Csmoking score]],Table1_2[[#This Row],[Condition score]],Table1_2[[#This Row],[Cholesterol score]],)</f>
        <v>3</v>
      </c>
      <c r="AD223" s="4" t="str">
        <f t="shared" si="35"/>
        <v>Medium risk</v>
      </c>
    </row>
    <row r="224" spans="1:30" x14ac:dyDescent="0.35">
      <c r="A224" s="4" t="s">
        <v>673</v>
      </c>
      <c r="B224" s="4" t="s">
        <v>674</v>
      </c>
      <c r="C224">
        <v>49</v>
      </c>
      <c r="D224" s="4" t="s">
        <v>73</v>
      </c>
      <c r="E224" s="4" t="s">
        <v>33</v>
      </c>
      <c r="F224" s="4" t="s">
        <v>57</v>
      </c>
      <c r="G224">
        <v>41.8</v>
      </c>
      <c r="H224">
        <v>150</v>
      </c>
      <c r="I224">
        <v>73</v>
      </c>
      <c r="J224">
        <v>245</v>
      </c>
      <c r="K224">
        <v>211</v>
      </c>
      <c r="L224" s="4" t="s">
        <v>860</v>
      </c>
      <c r="M224">
        <v>7</v>
      </c>
      <c r="N224">
        <v>3</v>
      </c>
      <c r="O224" s="4" t="s">
        <v>35</v>
      </c>
      <c r="P224" s="5">
        <v>45422</v>
      </c>
      <c r="Q224">
        <v>18</v>
      </c>
      <c r="R224">
        <v>11</v>
      </c>
      <c r="S224" s="4" t="s">
        <v>99</v>
      </c>
      <c r="T224" s="4" t="s">
        <v>864</v>
      </c>
      <c r="U224" t="str">
        <f t="shared" si="27"/>
        <v>Obese</v>
      </c>
      <c r="V224" s="4" t="str">
        <f t="shared" si="28"/>
        <v>Elder</v>
      </c>
      <c r="W224" s="4" t="str">
        <f t="shared" si="29"/>
        <v>High Bp</v>
      </c>
      <c r="X224" s="4">
        <f t="shared" si="30"/>
        <v>1</v>
      </c>
      <c r="Y224" s="4">
        <f t="shared" si="31"/>
        <v>1</v>
      </c>
      <c r="Z224" s="4">
        <f t="shared" si="32"/>
        <v>0</v>
      </c>
      <c r="AA224" s="4">
        <f t="shared" si="33"/>
        <v>1</v>
      </c>
      <c r="AB224" s="4">
        <f t="shared" si="34"/>
        <v>1</v>
      </c>
      <c r="AC224" s="4">
        <f>SUM(Table1_2[[#This Row],[bp score]],Table1_2[[#This Row],[bmi score]],Table1_2[[#This Row],[Csmoking score]],Table1_2[[#This Row],[Condition score]],Table1_2[[#This Row],[Cholesterol score]],)</f>
        <v>4</v>
      </c>
      <c r="AD224" s="4" t="str">
        <f t="shared" si="35"/>
        <v>High risk</v>
      </c>
    </row>
    <row r="225" spans="1:30" x14ac:dyDescent="0.35">
      <c r="A225" s="4" t="s">
        <v>676</v>
      </c>
      <c r="B225" s="4" t="s">
        <v>677</v>
      </c>
      <c r="C225">
        <v>50</v>
      </c>
      <c r="D225" s="4" t="s">
        <v>32</v>
      </c>
      <c r="E225" s="4" t="s">
        <v>131</v>
      </c>
      <c r="F225" s="4" t="s">
        <v>52</v>
      </c>
      <c r="G225">
        <v>29.7</v>
      </c>
      <c r="H225">
        <v>143</v>
      </c>
      <c r="I225">
        <v>95</v>
      </c>
      <c r="J225">
        <v>153</v>
      </c>
      <c r="K225">
        <v>111</v>
      </c>
      <c r="L225" s="4" t="s">
        <v>860</v>
      </c>
      <c r="M225">
        <v>7</v>
      </c>
      <c r="N225">
        <v>1</v>
      </c>
      <c r="O225" s="4" t="s">
        <v>35</v>
      </c>
      <c r="P225" s="5">
        <v>44793</v>
      </c>
      <c r="Q225">
        <v>13</v>
      </c>
      <c r="R225">
        <v>2</v>
      </c>
      <c r="S225" s="4" t="s">
        <v>92</v>
      </c>
      <c r="T225" s="4" t="s">
        <v>863</v>
      </c>
      <c r="U225" t="str">
        <f t="shared" si="27"/>
        <v>Overweight</v>
      </c>
      <c r="V225" s="4" t="str">
        <f t="shared" si="28"/>
        <v>Elder</v>
      </c>
      <c r="W225" s="4" t="str">
        <f t="shared" si="29"/>
        <v>High Bp</v>
      </c>
      <c r="X225" s="4">
        <f t="shared" si="30"/>
        <v>1</v>
      </c>
      <c r="Y225" s="4">
        <f t="shared" si="31"/>
        <v>0</v>
      </c>
      <c r="Z225" s="4">
        <f t="shared" si="32"/>
        <v>0</v>
      </c>
      <c r="AA225" s="4">
        <f t="shared" si="33"/>
        <v>1</v>
      </c>
      <c r="AB225" s="4">
        <f t="shared" si="34"/>
        <v>0</v>
      </c>
      <c r="AC225" s="4">
        <f>SUM(Table1_2[[#This Row],[bp score]],Table1_2[[#This Row],[bmi score]],Table1_2[[#This Row],[Csmoking score]],Table1_2[[#This Row],[Condition score]],Table1_2[[#This Row],[Cholesterol score]],)</f>
        <v>2</v>
      </c>
      <c r="AD225" s="4" t="str">
        <f t="shared" si="35"/>
        <v>Medium risk</v>
      </c>
    </row>
    <row r="226" spans="1:30" x14ac:dyDescent="0.35">
      <c r="A226" s="4" t="s">
        <v>679</v>
      </c>
      <c r="B226" s="4" t="s">
        <v>680</v>
      </c>
      <c r="C226">
        <v>27</v>
      </c>
      <c r="D226" s="4" t="s">
        <v>32</v>
      </c>
      <c r="E226" s="4" t="s">
        <v>65</v>
      </c>
      <c r="F226" s="4" t="s">
        <v>82</v>
      </c>
      <c r="G226">
        <v>32.299999999999997</v>
      </c>
      <c r="H226">
        <v>166</v>
      </c>
      <c r="I226">
        <v>78</v>
      </c>
      <c r="J226">
        <v>154</v>
      </c>
      <c r="K226">
        <v>114</v>
      </c>
      <c r="L226" s="4" t="s">
        <v>859</v>
      </c>
      <c r="M226">
        <v>7</v>
      </c>
      <c r="N226">
        <v>0</v>
      </c>
      <c r="O226" s="4" t="s">
        <v>35</v>
      </c>
      <c r="P226" s="5">
        <v>45018</v>
      </c>
      <c r="Q226">
        <v>19</v>
      </c>
      <c r="R226">
        <v>16</v>
      </c>
      <c r="S226" s="4" t="s">
        <v>38</v>
      </c>
      <c r="T226" s="4" t="s">
        <v>862</v>
      </c>
      <c r="U226" t="str">
        <f t="shared" si="27"/>
        <v>Obese</v>
      </c>
      <c r="V226" s="4" t="str">
        <f t="shared" si="28"/>
        <v>Young adult</v>
      </c>
      <c r="W226" s="4" t="str">
        <f t="shared" si="29"/>
        <v>High Bp</v>
      </c>
      <c r="X226" s="4">
        <f t="shared" si="30"/>
        <v>1</v>
      </c>
      <c r="Y226" s="4">
        <f t="shared" si="31"/>
        <v>1</v>
      </c>
      <c r="Z226" s="4">
        <f t="shared" si="32"/>
        <v>1</v>
      </c>
      <c r="AA226" s="4">
        <f t="shared" si="33"/>
        <v>1</v>
      </c>
      <c r="AB226" s="4">
        <f t="shared" si="34"/>
        <v>0</v>
      </c>
      <c r="AC226" s="4">
        <f>SUM(Table1_2[[#This Row],[bp score]],Table1_2[[#This Row],[bmi score]],Table1_2[[#This Row],[Csmoking score]],Table1_2[[#This Row],[Condition score]],Table1_2[[#This Row],[Cholesterol score]],)</f>
        <v>4</v>
      </c>
      <c r="AD226" s="4" t="str">
        <f t="shared" si="35"/>
        <v>High risk</v>
      </c>
    </row>
    <row r="227" spans="1:30" x14ac:dyDescent="0.35">
      <c r="A227" s="4" t="s">
        <v>682</v>
      </c>
      <c r="B227" s="4" t="s">
        <v>683</v>
      </c>
      <c r="C227">
        <v>24</v>
      </c>
      <c r="D227" s="4" t="s">
        <v>73</v>
      </c>
      <c r="E227" s="4" t="s">
        <v>23</v>
      </c>
      <c r="F227" s="4" t="s">
        <v>117</v>
      </c>
      <c r="G227">
        <v>41.4</v>
      </c>
      <c r="H227">
        <v>111</v>
      </c>
      <c r="I227">
        <v>77</v>
      </c>
      <c r="J227">
        <v>242</v>
      </c>
      <c r="K227">
        <v>160</v>
      </c>
      <c r="L227" s="4" t="s">
        <v>860</v>
      </c>
      <c r="M227">
        <v>6</v>
      </c>
      <c r="N227">
        <v>10</v>
      </c>
      <c r="O227" s="4" t="s">
        <v>35</v>
      </c>
      <c r="P227" s="5">
        <v>44553</v>
      </c>
      <c r="Q227">
        <v>2</v>
      </c>
      <c r="R227">
        <v>2</v>
      </c>
      <c r="S227" s="4" t="s">
        <v>38</v>
      </c>
      <c r="T227" s="4" t="s">
        <v>863</v>
      </c>
      <c r="U227" t="str">
        <f t="shared" si="27"/>
        <v>Obese</v>
      </c>
      <c r="V227" s="4" t="str">
        <f t="shared" si="28"/>
        <v>Young adult</v>
      </c>
      <c r="W227" s="4" t="str">
        <f t="shared" si="29"/>
        <v>Normal</v>
      </c>
      <c r="X227" s="4">
        <f t="shared" si="30"/>
        <v>0</v>
      </c>
      <c r="Y227" s="4">
        <f t="shared" si="31"/>
        <v>1</v>
      </c>
      <c r="Z227" s="4">
        <f t="shared" si="32"/>
        <v>0</v>
      </c>
      <c r="AA227" s="4">
        <f t="shared" si="33"/>
        <v>1</v>
      </c>
      <c r="AB227" s="4">
        <f t="shared" si="34"/>
        <v>1</v>
      </c>
      <c r="AC227" s="4">
        <f>SUM(Table1_2[[#This Row],[bp score]],Table1_2[[#This Row],[bmi score]],Table1_2[[#This Row],[Csmoking score]],Table1_2[[#This Row],[Condition score]],Table1_2[[#This Row],[Cholesterol score]],)</f>
        <v>3</v>
      </c>
      <c r="AD227" s="4" t="str">
        <f t="shared" si="35"/>
        <v>Medium risk</v>
      </c>
    </row>
    <row r="228" spans="1:30" x14ac:dyDescent="0.35">
      <c r="A228" s="4" t="s">
        <v>685</v>
      </c>
      <c r="B228" s="4" t="s">
        <v>686</v>
      </c>
      <c r="C228">
        <v>44</v>
      </c>
      <c r="D228" s="4" t="s">
        <v>73</v>
      </c>
      <c r="E228" s="4" t="s">
        <v>74</v>
      </c>
      <c r="F228" s="4" t="s">
        <v>52</v>
      </c>
      <c r="G228">
        <v>32.200000000000003</v>
      </c>
      <c r="H228">
        <v>124</v>
      </c>
      <c r="I228">
        <v>89</v>
      </c>
      <c r="J228">
        <v>243</v>
      </c>
      <c r="K228">
        <v>217</v>
      </c>
      <c r="L228" s="4" t="s">
        <v>859</v>
      </c>
      <c r="M228">
        <v>4</v>
      </c>
      <c r="N228">
        <v>3</v>
      </c>
      <c r="O228" s="4" t="s">
        <v>25</v>
      </c>
      <c r="P228" s="5">
        <v>44442</v>
      </c>
      <c r="Q228">
        <v>16</v>
      </c>
      <c r="R228">
        <v>9</v>
      </c>
      <c r="S228" s="4" t="s">
        <v>78</v>
      </c>
      <c r="T228" s="4" t="s">
        <v>863</v>
      </c>
      <c r="U228" t="str">
        <f t="shared" si="27"/>
        <v>Obese</v>
      </c>
      <c r="V228" s="4" t="str">
        <f t="shared" si="28"/>
        <v>Elder</v>
      </c>
      <c r="W228" s="4" t="str">
        <f t="shared" si="29"/>
        <v>High Bp</v>
      </c>
      <c r="X228" s="4">
        <f t="shared" si="30"/>
        <v>1</v>
      </c>
      <c r="Y228" s="4">
        <f t="shared" si="31"/>
        <v>1</v>
      </c>
      <c r="Z228" s="4">
        <f t="shared" si="32"/>
        <v>1</v>
      </c>
      <c r="AA228" s="4">
        <f t="shared" si="33"/>
        <v>0</v>
      </c>
      <c r="AB228" s="4">
        <f t="shared" si="34"/>
        <v>1</v>
      </c>
      <c r="AC228" s="4">
        <f>SUM(Table1_2[[#This Row],[bp score]],Table1_2[[#This Row],[bmi score]],Table1_2[[#This Row],[Csmoking score]],Table1_2[[#This Row],[Condition score]],Table1_2[[#This Row],[Cholesterol score]],)</f>
        <v>4</v>
      </c>
      <c r="AD228" s="4" t="str">
        <f t="shared" si="35"/>
        <v>High risk</v>
      </c>
    </row>
    <row r="229" spans="1:30" x14ac:dyDescent="0.35">
      <c r="A229" s="4" t="s">
        <v>688</v>
      </c>
      <c r="B229" s="4" t="s">
        <v>689</v>
      </c>
      <c r="C229">
        <v>56</v>
      </c>
      <c r="D229" s="4" t="s">
        <v>32</v>
      </c>
      <c r="E229" s="4" t="s">
        <v>161</v>
      </c>
      <c r="F229" s="4" t="s">
        <v>82</v>
      </c>
      <c r="G229">
        <v>31.1</v>
      </c>
      <c r="H229">
        <v>131</v>
      </c>
      <c r="I229">
        <v>81</v>
      </c>
      <c r="J229">
        <v>257</v>
      </c>
      <c r="K229">
        <v>244</v>
      </c>
      <c r="L229" s="4" t="s">
        <v>859</v>
      </c>
      <c r="M229">
        <v>0</v>
      </c>
      <c r="N229">
        <v>1</v>
      </c>
      <c r="O229" s="4" t="s">
        <v>35</v>
      </c>
      <c r="P229" s="5">
        <v>44319</v>
      </c>
      <c r="Q229">
        <v>12</v>
      </c>
      <c r="R229">
        <v>20</v>
      </c>
      <c r="S229" s="4" t="s">
        <v>78</v>
      </c>
      <c r="T229" s="4" t="s">
        <v>862</v>
      </c>
      <c r="U229" t="str">
        <f t="shared" si="27"/>
        <v>Obese</v>
      </c>
      <c r="V229" s="4" t="str">
        <f t="shared" si="28"/>
        <v>Aged</v>
      </c>
      <c r="W229" s="4" t="str">
        <f t="shared" si="29"/>
        <v>High Bp</v>
      </c>
      <c r="X229" s="4">
        <f t="shared" si="30"/>
        <v>1</v>
      </c>
      <c r="Y229" s="4">
        <f t="shared" si="31"/>
        <v>1</v>
      </c>
      <c r="Z229" s="4">
        <f t="shared" si="32"/>
        <v>1</v>
      </c>
      <c r="AA229" s="4">
        <f t="shared" si="33"/>
        <v>0</v>
      </c>
      <c r="AB229" s="4">
        <f t="shared" si="34"/>
        <v>1</v>
      </c>
      <c r="AC229" s="4">
        <f>SUM(Table1_2[[#This Row],[bp score]],Table1_2[[#This Row],[bmi score]],Table1_2[[#This Row],[Csmoking score]],Table1_2[[#This Row],[Condition score]],Table1_2[[#This Row],[Cholesterol score]],)</f>
        <v>4</v>
      </c>
      <c r="AD229" s="4" t="str">
        <f t="shared" si="35"/>
        <v>High risk</v>
      </c>
    </row>
    <row r="230" spans="1:30" x14ac:dyDescent="0.35">
      <c r="A230" s="4" t="s">
        <v>691</v>
      </c>
      <c r="B230" s="4" t="s">
        <v>692</v>
      </c>
      <c r="C230">
        <v>44</v>
      </c>
      <c r="D230" s="4" t="s">
        <v>32</v>
      </c>
      <c r="E230" s="4" t="s">
        <v>74</v>
      </c>
      <c r="F230" s="4" t="s">
        <v>52</v>
      </c>
      <c r="G230">
        <v>24.2</v>
      </c>
      <c r="H230">
        <v>151</v>
      </c>
      <c r="I230">
        <v>103</v>
      </c>
      <c r="J230">
        <v>227</v>
      </c>
      <c r="K230">
        <v>89</v>
      </c>
      <c r="L230" s="4" t="s">
        <v>860</v>
      </c>
      <c r="M230">
        <v>2</v>
      </c>
      <c r="N230">
        <v>8</v>
      </c>
      <c r="O230" s="4" t="s">
        <v>35</v>
      </c>
      <c r="P230" s="5">
        <v>45035</v>
      </c>
      <c r="Q230">
        <v>8</v>
      </c>
      <c r="R230">
        <v>5</v>
      </c>
      <c r="S230" s="4" t="s">
        <v>78</v>
      </c>
      <c r="T230" s="4" t="s">
        <v>862</v>
      </c>
      <c r="U230" t="str">
        <f t="shared" si="27"/>
        <v>Normal</v>
      </c>
      <c r="V230" s="4" t="str">
        <f t="shared" si="28"/>
        <v>Elder</v>
      </c>
      <c r="W230" s="4" t="str">
        <f t="shared" si="29"/>
        <v>High Bp</v>
      </c>
      <c r="X230" s="4">
        <f t="shared" si="30"/>
        <v>1</v>
      </c>
      <c r="Y230" s="4">
        <f t="shared" si="31"/>
        <v>0</v>
      </c>
      <c r="Z230" s="4">
        <f t="shared" si="32"/>
        <v>0</v>
      </c>
      <c r="AA230" s="4">
        <f t="shared" si="33"/>
        <v>0</v>
      </c>
      <c r="AB230" s="4">
        <f t="shared" si="34"/>
        <v>1</v>
      </c>
      <c r="AC230" s="4">
        <f>SUM(Table1_2[[#This Row],[bp score]],Table1_2[[#This Row],[bmi score]],Table1_2[[#This Row],[Csmoking score]],Table1_2[[#This Row],[Condition score]],Table1_2[[#This Row],[Cholesterol score]],)</f>
        <v>2</v>
      </c>
      <c r="AD230" s="4" t="str">
        <f t="shared" si="35"/>
        <v>Medium risk</v>
      </c>
    </row>
    <row r="231" spans="1:30" x14ac:dyDescent="0.35">
      <c r="A231" s="4" t="s">
        <v>694</v>
      </c>
      <c r="B231" s="4" t="s">
        <v>661</v>
      </c>
      <c r="C231">
        <v>37</v>
      </c>
      <c r="D231" s="4" t="s">
        <v>73</v>
      </c>
      <c r="E231" s="4" t="s">
        <v>74</v>
      </c>
      <c r="F231" s="4" t="s">
        <v>52</v>
      </c>
      <c r="G231">
        <v>22.7</v>
      </c>
      <c r="H231">
        <v>131</v>
      </c>
      <c r="I231">
        <v>99</v>
      </c>
      <c r="J231">
        <v>231</v>
      </c>
      <c r="K231">
        <v>109</v>
      </c>
      <c r="L231" s="4" t="s">
        <v>860</v>
      </c>
      <c r="M231">
        <v>1</v>
      </c>
      <c r="N231">
        <v>2</v>
      </c>
      <c r="O231" s="4" t="s">
        <v>35</v>
      </c>
      <c r="P231" s="5">
        <v>44441</v>
      </c>
      <c r="Q231">
        <v>15</v>
      </c>
      <c r="R231">
        <v>11</v>
      </c>
      <c r="S231" s="4" t="s">
        <v>46</v>
      </c>
      <c r="T231" s="4" t="s">
        <v>864</v>
      </c>
      <c r="U231" t="str">
        <f t="shared" si="27"/>
        <v>Normal</v>
      </c>
      <c r="V231" s="4" t="str">
        <f t="shared" si="28"/>
        <v>Adult</v>
      </c>
      <c r="W231" s="4" t="str">
        <f t="shared" si="29"/>
        <v>High Bp</v>
      </c>
      <c r="X231" s="4">
        <f t="shared" si="30"/>
        <v>1</v>
      </c>
      <c r="Y231" s="4">
        <f t="shared" si="31"/>
        <v>0</v>
      </c>
      <c r="Z231" s="4">
        <f t="shared" si="32"/>
        <v>0</v>
      </c>
      <c r="AA231" s="4">
        <f t="shared" si="33"/>
        <v>0</v>
      </c>
      <c r="AB231" s="4">
        <f t="shared" si="34"/>
        <v>1</v>
      </c>
      <c r="AC231" s="4">
        <f>SUM(Table1_2[[#This Row],[bp score]],Table1_2[[#This Row],[bmi score]],Table1_2[[#This Row],[Csmoking score]],Table1_2[[#This Row],[Condition score]],Table1_2[[#This Row],[Cholesterol score]],)</f>
        <v>2</v>
      </c>
      <c r="AD231" s="4" t="str">
        <f t="shared" si="35"/>
        <v>Medium risk</v>
      </c>
    </row>
    <row r="232" spans="1:30" x14ac:dyDescent="0.35">
      <c r="A232" s="4" t="s">
        <v>696</v>
      </c>
      <c r="B232" s="4" t="s">
        <v>215</v>
      </c>
      <c r="C232">
        <v>39</v>
      </c>
      <c r="D232" s="4" t="s">
        <v>73</v>
      </c>
      <c r="E232" s="4" t="s">
        <v>33</v>
      </c>
      <c r="F232" s="4" t="s">
        <v>75</v>
      </c>
      <c r="G232">
        <v>24</v>
      </c>
      <c r="H232">
        <v>128</v>
      </c>
      <c r="I232">
        <v>96</v>
      </c>
      <c r="J232">
        <v>172</v>
      </c>
      <c r="K232">
        <v>83</v>
      </c>
      <c r="L232" s="4" t="s">
        <v>860</v>
      </c>
      <c r="M232">
        <v>6</v>
      </c>
      <c r="N232">
        <v>8</v>
      </c>
      <c r="O232" s="4" t="s">
        <v>25</v>
      </c>
      <c r="P232" s="5">
        <v>45135</v>
      </c>
      <c r="Q232">
        <v>5</v>
      </c>
      <c r="R232">
        <v>14</v>
      </c>
      <c r="S232" s="4" t="s">
        <v>92</v>
      </c>
      <c r="T232" s="4" t="s">
        <v>100</v>
      </c>
      <c r="U232" t="str">
        <f t="shared" si="27"/>
        <v>Normal</v>
      </c>
      <c r="V232" s="4" t="str">
        <f t="shared" si="28"/>
        <v>Adult</v>
      </c>
      <c r="W232" s="4" t="str">
        <f t="shared" si="29"/>
        <v>High Bp</v>
      </c>
      <c r="X232" s="4">
        <f t="shared" si="30"/>
        <v>1</v>
      </c>
      <c r="Y232" s="4">
        <f t="shared" si="31"/>
        <v>0</v>
      </c>
      <c r="Z232" s="4">
        <f t="shared" si="32"/>
        <v>0</v>
      </c>
      <c r="AA232" s="4">
        <f t="shared" si="33"/>
        <v>1</v>
      </c>
      <c r="AB232" s="4">
        <f t="shared" si="34"/>
        <v>0</v>
      </c>
      <c r="AC232" s="4">
        <f>SUM(Table1_2[[#This Row],[bp score]],Table1_2[[#This Row],[bmi score]],Table1_2[[#This Row],[Csmoking score]],Table1_2[[#This Row],[Condition score]],Table1_2[[#This Row],[Cholesterol score]],)</f>
        <v>2</v>
      </c>
      <c r="AD232" s="4" t="str">
        <f t="shared" si="35"/>
        <v>Medium risk</v>
      </c>
    </row>
    <row r="233" spans="1:30" x14ac:dyDescent="0.35">
      <c r="A233" s="4" t="s">
        <v>698</v>
      </c>
      <c r="B233" s="4" t="s">
        <v>699</v>
      </c>
      <c r="C233">
        <v>22</v>
      </c>
      <c r="D233" s="4" t="s">
        <v>32</v>
      </c>
      <c r="E233" s="4" t="s">
        <v>23</v>
      </c>
      <c r="F233" s="4" t="s">
        <v>82</v>
      </c>
      <c r="G233">
        <v>31.5</v>
      </c>
      <c r="H233">
        <v>141</v>
      </c>
      <c r="I233">
        <v>83</v>
      </c>
      <c r="J233">
        <v>206</v>
      </c>
      <c r="K233">
        <v>117</v>
      </c>
      <c r="L233" s="4" t="s">
        <v>860</v>
      </c>
      <c r="M233">
        <v>4</v>
      </c>
      <c r="N233">
        <v>4</v>
      </c>
      <c r="O233" s="4" t="s">
        <v>25</v>
      </c>
      <c r="P233" s="5">
        <v>45576</v>
      </c>
      <c r="Q233">
        <v>11</v>
      </c>
      <c r="R233">
        <v>5</v>
      </c>
      <c r="S233" s="4" t="s">
        <v>92</v>
      </c>
      <c r="T233" s="4" t="s">
        <v>100</v>
      </c>
      <c r="U233" t="str">
        <f t="shared" si="27"/>
        <v>Obese</v>
      </c>
      <c r="V233" s="4" t="str">
        <f t="shared" si="28"/>
        <v>Young adult</v>
      </c>
      <c r="W233" s="4" t="str">
        <f t="shared" si="29"/>
        <v>High Bp</v>
      </c>
      <c r="X233" s="4">
        <f t="shared" si="30"/>
        <v>1</v>
      </c>
      <c r="Y233" s="4">
        <f t="shared" si="31"/>
        <v>1</v>
      </c>
      <c r="Z233" s="4">
        <f t="shared" si="32"/>
        <v>0</v>
      </c>
      <c r="AA233" s="4">
        <f t="shared" si="33"/>
        <v>1</v>
      </c>
      <c r="AB233" s="4">
        <f t="shared" si="34"/>
        <v>1</v>
      </c>
      <c r="AC233" s="4">
        <f>SUM(Table1_2[[#This Row],[bp score]],Table1_2[[#This Row],[bmi score]],Table1_2[[#This Row],[Csmoking score]],Table1_2[[#This Row],[Condition score]],Table1_2[[#This Row],[Cholesterol score]],)</f>
        <v>4</v>
      </c>
      <c r="AD233" s="4" t="str">
        <f t="shared" si="35"/>
        <v>High risk</v>
      </c>
    </row>
    <row r="234" spans="1:30" x14ac:dyDescent="0.35">
      <c r="A234" s="4" t="s">
        <v>701</v>
      </c>
      <c r="B234" s="4" t="s">
        <v>245</v>
      </c>
      <c r="C234">
        <v>45</v>
      </c>
      <c r="D234" s="4" t="s">
        <v>73</v>
      </c>
      <c r="E234" s="4" t="s">
        <v>65</v>
      </c>
      <c r="F234" s="4" t="s">
        <v>57</v>
      </c>
      <c r="G234">
        <v>28.3</v>
      </c>
      <c r="H234">
        <v>116</v>
      </c>
      <c r="I234">
        <v>96</v>
      </c>
      <c r="J234">
        <v>198</v>
      </c>
      <c r="K234">
        <v>95</v>
      </c>
      <c r="L234" s="4" t="s">
        <v>859</v>
      </c>
      <c r="M234">
        <v>3</v>
      </c>
      <c r="N234">
        <v>9</v>
      </c>
      <c r="O234" s="4" t="s">
        <v>25</v>
      </c>
      <c r="P234" s="5">
        <v>45387</v>
      </c>
      <c r="Q234">
        <v>4</v>
      </c>
      <c r="R234">
        <v>15</v>
      </c>
      <c r="S234" s="4" t="s">
        <v>99</v>
      </c>
      <c r="T234" s="4" t="s">
        <v>864</v>
      </c>
      <c r="U234" t="str">
        <f t="shared" si="27"/>
        <v>Overweight</v>
      </c>
      <c r="V234" s="4" t="str">
        <f t="shared" si="28"/>
        <v>Elder</v>
      </c>
      <c r="W234" s="4" t="str">
        <f t="shared" si="29"/>
        <v>High Bp</v>
      </c>
      <c r="X234" s="4">
        <f t="shared" si="30"/>
        <v>1</v>
      </c>
      <c r="Y234" s="4">
        <f t="shared" si="31"/>
        <v>0</v>
      </c>
      <c r="Z234" s="4">
        <f t="shared" si="32"/>
        <v>1</v>
      </c>
      <c r="AA234" s="4">
        <f t="shared" si="33"/>
        <v>1</v>
      </c>
      <c r="AB234" s="4">
        <f t="shared" si="34"/>
        <v>0</v>
      </c>
      <c r="AC234" s="4">
        <f>SUM(Table1_2[[#This Row],[bp score]],Table1_2[[#This Row],[bmi score]],Table1_2[[#This Row],[Csmoking score]],Table1_2[[#This Row],[Condition score]],Table1_2[[#This Row],[Cholesterol score]],)</f>
        <v>3</v>
      </c>
      <c r="AD234" s="4" t="str">
        <f t="shared" si="35"/>
        <v>Medium risk</v>
      </c>
    </row>
    <row r="235" spans="1:30" x14ac:dyDescent="0.35">
      <c r="A235" s="4" t="s">
        <v>703</v>
      </c>
      <c r="B235" s="4" t="s">
        <v>704</v>
      </c>
      <c r="C235">
        <v>30</v>
      </c>
      <c r="D235" s="4" t="s">
        <v>73</v>
      </c>
      <c r="E235" s="4" t="s">
        <v>161</v>
      </c>
      <c r="F235" s="4" t="s">
        <v>57</v>
      </c>
      <c r="G235">
        <v>23.3</v>
      </c>
      <c r="H235">
        <v>106</v>
      </c>
      <c r="I235">
        <v>85</v>
      </c>
      <c r="J235">
        <v>165</v>
      </c>
      <c r="K235">
        <v>246</v>
      </c>
      <c r="L235" s="4" t="s">
        <v>860</v>
      </c>
      <c r="M235">
        <v>0</v>
      </c>
      <c r="N235">
        <v>4</v>
      </c>
      <c r="O235" s="4" t="s">
        <v>25</v>
      </c>
      <c r="P235" s="5">
        <v>45600</v>
      </c>
      <c r="Q235">
        <v>14</v>
      </c>
      <c r="R235">
        <v>10</v>
      </c>
      <c r="S235" s="4" t="s">
        <v>78</v>
      </c>
      <c r="T235" s="4" t="s">
        <v>864</v>
      </c>
      <c r="U235" t="str">
        <f t="shared" si="27"/>
        <v>Normal</v>
      </c>
      <c r="V235" s="4" t="str">
        <f t="shared" si="28"/>
        <v>Young adult</v>
      </c>
      <c r="W235" s="4" t="str">
        <f t="shared" si="29"/>
        <v>High Bp</v>
      </c>
      <c r="X235" s="4">
        <f t="shared" si="30"/>
        <v>1</v>
      </c>
      <c r="Y235" s="4">
        <f t="shared" si="31"/>
        <v>0</v>
      </c>
      <c r="Z235" s="4">
        <f t="shared" si="32"/>
        <v>0</v>
      </c>
      <c r="AA235" s="4">
        <f t="shared" si="33"/>
        <v>0</v>
      </c>
      <c r="AB235" s="4">
        <f t="shared" si="34"/>
        <v>0</v>
      </c>
      <c r="AC235" s="4">
        <f>SUM(Table1_2[[#This Row],[bp score]],Table1_2[[#This Row],[bmi score]],Table1_2[[#This Row],[Csmoking score]],Table1_2[[#This Row],[Condition score]],Table1_2[[#This Row],[Cholesterol score]],)</f>
        <v>1</v>
      </c>
      <c r="AD235" s="4" t="str">
        <f t="shared" si="35"/>
        <v>Low risk</v>
      </c>
    </row>
    <row r="236" spans="1:30" x14ac:dyDescent="0.35">
      <c r="A236" s="4" t="s">
        <v>705</v>
      </c>
      <c r="B236" s="4" t="s">
        <v>412</v>
      </c>
      <c r="C236">
        <v>57</v>
      </c>
      <c r="D236" s="4" t="s">
        <v>32</v>
      </c>
      <c r="E236" s="4" t="s">
        <v>127</v>
      </c>
      <c r="F236" s="4" t="s">
        <v>117</v>
      </c>
      <c r="G236">
        <v>27.3</v>
      </c>
      <c r="H236">
        <v>144</v>
      </c>
      <c r="I236">
        <v>103</v>
      </c>
      <c r="J236">
        <v>190</v>
      </c>
      <c r="K236">
        <v>217</v>
      </c>
      <c r="L236" s="4" t="s">
        <v>100</v>
      </c>
      <c r="M236">
        <v>7</v>
      </c>
      <c r="N236">
        <v>9</v>
      </c>
      <c r="O236" s="4" t="s">
        <v>25</v>
      </c>
      <c r="P236" s="5">
        <v>45088</v>
      </c>
      <c r="Q236">
        <v>16</v>
      </c>
      <c r="R236">
        <v>15</v>
      </c>
      <c r="S236" s="4" t="s">
        <v>92</v>
      </c>
      <c r="T236" s="4" t="s">
        <v>863</v>
      </c>
      <c r="U236" t="str">
        <f t="shared" si="27"/>
        <v>Overweight</v>
      </c>
      <c r="V236" s="4" t="str">
        <f t="shared" si="28"/>
        <v>Aged</v>
      </c>
      <c r="W236" s="4" t="str">
        <f t="shared" si="29"/>
        <v>High Bp</v>
      </c>
      <c r="X236" s="4">
        <f t="shared" si="30"/>
        <v>1</v>
      </c>
      <c r="Y236" s="4">
        <f t="shared" si="31"/>
        <v>0</v>
      </c>
      <c r="Z236" s="4">
        <f t="shared" si="32"/>
        <v>0</v>
      </c>
      <c r="AA236" s="4">
        <f t="shared" si="33"/>
        <v>1</v>
      </c>
      <c r="AB236" s="4">
        <f t="shared" si="34"/>
        <v>0</v>
      </c>
      <c r="AC236" s="4">
        <f>SUM(Table1_2[[#This Row],[bp score]],Table1_2[[#This Row],[bmi score]],Table1_2[[#This Row],[Csmoking score]],Table1_2[[#This Row],[Condition score]],Table1_2[[#This Row],[Cholesterol score]],)</f>
        <v>2</v>
      </c>
      <c r="AD236" s="4" t="str">
        <f t="shared" si="35"/>
        <v>Medium risk</v>
      </c>
    </row>
    <row r="237" spans="1:30" x14ac:dyDescent="0.35">
      <c r="A237" s="4" t="s">
        <v>706</v>
      </c>
      <c r="B237" s="4" t="s">
        <v>387</v>
      </c>
      <c r="C237">
        <v>40</v>
      </c>
      <c r="D237" s="4" t="s">
        <v>73</v>
      </c>
      <c r="E237" s="4" t="s">
        <v>33</v>
      </c>
      <c r="F237" s="4" t="s">
        <v>24</v>
      </c>
      <c r="G237">
        <v>33</v>
      </c>
      <c r="H237">
        <v>143</v>
      </c>
      <c r="I237">
        <v>86</v>
      </c>
      <c r="J237">
        <v>243</v>
      </c>
      <c r="K237">
        <v>88</v>
      </c>
      <c r="L237" s="4" t="s">
        <v>860</v>
      </c>
      <c r="M237">
        <v>2</v>
      </c>
      <c r="N237">
        <v>6</v>
      </c>
      <c r="O237" s="4" t="s">
        <v>35</v>
      </c>
      <c r="P237" s="5">
        <v>45098</v>
      </c>
      <c r="Q237">
        <v>9</v>
      </c>
      <c r="R237">
        <v>8</v>
      </c>
      <c r="S237" s="4" t="s">
        <v>46</v>
      </c>
      <c r="T237" s="4" t="s">
        <v>100</v>
      </c>
      <c r="U237" t="str">
        <f t="shared" si="27"/>
        <v>Obese</v>
      </c>
      <c r="V237" s="4" t="str">
        <f t="shared" si="28"/>
        <v>Adult</v>
      </c>
      <c r="W237" s="4" t="str">
        <f t="shared" si="29"/>
        <v>High Bp</v>
      </c>
      <c r="X237" s="4">
        <f t="shared" si="30"/>
        <v>1</v>
      </c>
      <c r="Y237" s="4">
        <f t="shared" si="31"/>
        <v>1</v>
      </c>
      <c r="Z237" s="4">
        <f t="shared" si="32"/>
        <v>0</v>
      </c>
      <c r="AA237" s="4">
        <f t="shared" si="33"/>
        <v>0</v>
      </c>
      <c r="AB237" s="4">
        <f t="shared" si="34"/>
        <v>1</v>
      </c>
      <c r="AC237" s="4">
        <f>SUM(Table1_2[[#This Row],[bp score]],Table1_2[[#This Row],[bmi score]],Table1_2[[#This Row],[Csmoking score]],Table1_2[[#This Row],[Condition score]],Table1_2[[#This Row],[Cholesterol score]],)</f>
        <v>3</v>
      </c>
      <c r="AD237" s="4" t="str">
        <f t="shared" si="35"/>
        <v>Medium risk</v>
      </c>
    </row>
    <row r="238" spans="1:30" x14ac:dyDescent="0.35">
      <c r="A238" s="4" t="s">
        <v>708</v>
      </c>
      <c r="B238" s="4" t="s">
        <v>256</v>
      </c>
      <c r="C238">
        <v>45</v>
      </c>
      <c r="D238" s="4" t="s">
        <v>73</v>
      </c>
      <c r="E238" s="4" t="s">
        <v>65</v>
      </c>
      <c r="F238" s="4" t="s">
        <v>24</v>
      </c>
      <c r="G238">
        <v>21.6</v>
      </c>
      <c r="H238">
        <v>102</v>
      </c>
      <c r="I238">
        <v>68</v>
      </c>
      <c r="J238">
        <v>200</v>
      </c>
      <c r="K238">
        <v>239</v>
      </c>
      <c r="L238" s="4" t="s">
        <v>859</v>
      </c>
      <c r="M238">
        <v>1</v>
      </c>
      <c r="N238">
        <v>4</v>
      </c>
      <c r="O238" s="4" t="s">
        <v>25</v>
      </c>
      <c r="P238" s="5">
        <v>45326</v>
      </c>
      <c r="Q238">
        <v>2</v>
      </c>
      <c r="R238">
        <v>15</v>
      </c>
      <c r="S238" s="4" t="s">
        <v>38</v>
      </c>
      <c r="T238" s="4" t="s">
        <v>862</v>
      </c>
      <c r="U238" t="str">
        <f t="shared" si="27"/>
        <v>Normal</v>
      </c>
      <c r="V238" s="4" t="str">
        <f t="shared" si="28"/>
        <v>Elder</v>
      </c>
      <c r="W238" s="4" t="str">
        <f t="shared" si="29"/>
        <v>Normal</v>
      </c>
      <c r="X238" s="4">
        <f t="shared" si="30"/>
        <v>0</v>
      </c>
      <c r="Y238" s="4">
        <f t="shared" si="31"/>
        <v>0</v>
      </c>
      <c r="Z238" s="4">
        <f t="shared" si="32"/>
        <v>1</v>
      </c>
      <c r="AA238" s="4">
        <f t="shared" si="33"/>
        <v>1</v>
      </c>
      <c r="AB238" s="4">
        <f t="shared" si="34"/>
        <v>0</v>
      </c>
      <c r="AC238" s="4">
        <f>SUM(Table1_2[[#This Row],[bp score]],Table1_2[[#This Row],[bmi score]],Table1_2[[#This Row],[Csmoking score]],Table1_2[[#This Row],[Condition score]],Table1_2[[#This Row],[Cholesterol score]],)</f>
        <v>2</v>
      </c>
      <c r="AD238" s="4" t="str">
        <f t="shared" si="35"/>
        <v>Medium risk</v>
      </c>
    </row>
    <row r="239" spans="1:30" x14ac:dyDescent="0.35">
      <c r="A239" s="4" t="s">
        <v>710</v>
      </c>
      <c r="B239" s="4" t="s">
        <v>711</v>
      </c>
      <c r="C239">
        <v>55</v>
      </c>
      <c r="D239" s="4" t="s">
        <v>73</v>
      </c>
      <c r="E239" s="4" t="s">
        <v>131</v>
      </c>
      <c r="F239" s="4" t="s">
        <v>57</v>
      </c>
      <c r="G239">
        <v>32.5</v>
      </c>
      <c r="H239">
        <v>110</v>
      </c>
      <c r="I239">
        <v>101</v>
      </c>
      <c r="J239">
        <v>239</v>
      </c>
      <c r="K239">
        <v>149</v>
      </c>
      <c r="L239" s="4" t="s">
        <v>861</v>
      </c>
      <c r="M239">
        <v>3</v>
      </c>
      <c r="N239">
        <v>5</v>
      </c>
      <c r="O239" s="4" t="s">
        <v>35</v>
      </c>
      <c r="P239" s="5">
        <v>44637</v>
      </c>
      <c r="Q239">
        <v>5</v>
      </c>
      <c r="R239">
        <v>0</v>
      </c>
      <c r="S239" s="4" t="s">
        <v>99</v>
      </c>
      <c r="T239" s="4" t="s">
        <v>864</v>
      </c>
      <c r="U239" t="str">
        <f t="shared" si="27"/>
        <v>Obese</v>
      </c>
      <c r="V239" s="4" t="str">
        <f t="shared" si="28"/>
        <v>Aged</v>
      </c>
      <c r="W239" s="4" t="str">
        <f t="shared" si="29"/>
        <v>High Bp</v>
      </c>
      <c r="X239" s="4">
        <f t="shared" si="30"/>
        <v>1</v>
      </c>
      <c r="Y239" s="4">
        <f t="shared" si="31"/>
        <v>1</v>
      </c>
      <c r="Z239" s="4">
        <f t="shared" si="32"/>
        <v>0</v>
      </c>
      <c r="AA239" s="4">
        <f t="shared" si="33"/>
        <v>1</v>
      </c>
      <c r="AB239" s="4">
        <f t="shared" si="34"/>
        <v>1</v>
      </c>
      <c r="AC239" s="4">
        <f>SUM(Table1_2[[#This Row],[bp score]],Table1_2[[#This Row],[bmi score]],Table1_2[[#This Row],[Csmoking score]],Table1_2[[#This Row],[Condition score]],Table1_2[[#This Row],[Cholesterol score]],)</f>
        <v>4</v>
      </c>
      <c r="AD239" s="4" t="str">
        <f t="shared" si="35"/>
        <v>High risk</v>
      </c>
    </row>
    <row r="240" spans="1:30" x14ac:dyDescent="0.35">
      <c r="A240" s="4" t="s">
        <v>713</v>
      </c>
      <c r="B240" s="4" t="s">
        <v>714</v>
      </c>
      <c r="C240">
        <v>51</v>
      </c>
      <c r="D240" s="4" t="s">
        <v>32</v>
      </c>
      <c r="E240" s="4" t="s">
        <v>131</v>
      </c>
      <c r="F240" s="4" t="s">
        <v>90</v>
      </c>
      <c r="G240">
        <v>20.399999999999999</v>
      </c>
      <c r="H240">
        <v>169</v>
      </c>
      <c r="I240">
        <v>71</v>
      </c>
      <c r="J240">
        <v>256</v>
      </c>
      <c r="K240">
        <v>231</v>
      </c>
      <c r="L240" s="4" t="s">
        <v>100</v>
      </c>
      <c r="M240">
        <v>6</v>
      </c>
      <c r="N240">
        <v>9</v>
      </c>
      <c r="O240" s="4" t="s">
        <v>25</v>
      </c>
      <c r="P240" s="5">
        <v>45156</v>
      </c>
      <c r="Q240">
        <v>7</v>
      </c>
      <c r="R240">
        <v>2</v>
      </c>
      <c r="S240" s="4" t="s">
        <v>92</v>
      </c>
      <c r="T240" s="4" t="s">
        <v>863</v>
      </c>
      <c r="U240" t="str">
        <f t="shared" si="27"/>
        <v>Normal</v>
      </c>
      <c r="V240" s="4" t="str">
        <f t="shared" si="28"/>
        <v>Aged</v>
      </c>
      <c r="W240" s="4" t="str">
        <f t="shared" si="29"/>
        <v>High Bp</v>
      </c>
      <c r="X240" s="4">
        <f t="shared" si="30"/>
        <v>1</v>
      </c>
      <c r="Y240" s="4">
        <f t="shared" si="31"/>
        <v>0</v>
      </c>
      <c r="Z240" s="4">
        <f t="shared" si="32"/>
        <v>0</v>
      </c>
      <c r="AA240" s="4">
        <f t="shared" si="33"/>
        <v>1</v>
      </c>
      <c r="AB240" s="4">
        <f t="shared" si="34"/>
        <v>1</v>
      </c>
      <c r="AC240" s="4">
        <f>SUM(Table1_2[[#This Row],[bp score]],Table1_2[[#This Row],[bmi score]],Table1_2[[#This Row],[Csmoking score]],Table1_2[[#This Row],[Condition score]],Table1_2[[#This Row],[Cholesterol score]],)</f>
        <v>3</v>
      </c>
      <c r="AD240" s="4" t="str">
        <f t="shared" si="35"/>
        <v>Medium risk</v>
      </c>
    </row>
    <row r="241" spans="1:30" x14ac:dyDescent="0.35">
      <c r="A241" s="4" t="s">
        <v>716</v>
      </c>
      <c r="B241" s="4" t="s">
        <v>717</v>
      </c>
      <c r="C241">
        <v>38</v>
      </c>
      <c r="D241" s="4" t="s">
        <v>32</v>
      </c>
      <c r="E241" s="4" t="s">
        <v>74</v>
      </c>
      <c r="F241" s="4" t="s">
        <v>117</v>
      </c>
      <c r="G241">
        <v>17</v>
      </c>
      <c r="H241">
        <v>134</v>
      </c>
      <c r="I241">
        <v>82</v>
      </c>
      <c r="J241">
        <v>213</v>
      </c>
      <c r="K241">
        <v>190</v>
      </c>
      <c r="L241" s="4" t="s">
        <v>860</v>
      </c>
      <c r="M241">
        <v>0</v>
      </c>
      <c r="N241">
        <v>8</v>
      </c>
      <c r="O241" s="4" t="s">
        <v>35</v>
      </c>
      <c r="P241" s="5" t="s">
        <v>54</v>
      </c>
      <c r="Q241">
        <v>0</v>
      </c>
      <c r="R241">
        <v>19</v>
      </c>
      <c r="S241" s="4" t="s">
        <v>99</v>
      </c>
      <c r="T241" s="4" t="s">
        <v>100</v>
      </c>
      <c r="U241" t="str">
        <f t="shared" si="27"/>
        <v>Underweight</v>
      </c>
      <c r="V241" s="4" t="str">
        <f t="shared" si="28"/>
        <v>Adult</v>
      </c>
      <c r="W241" s="4" t="str">
        <f t="shared" si="29"/>
        <v>High Bp</v>
      </c>
      <c r="X241" s="4">
        <f t="shared" si="30"/>
        <v>1</v>
      </c>
      <c r="Y241" s="4">
        <f t="shared" si="31"/>
        <v>0</v>
      </c>
      <c r="Z241" s="4">
        <f t="shared" si="32"/>
        <v>0</v>
      </c>
      <c r="AA241" s="4">
        <f t="shared" si="33"/>
        <v>1</v>
      </c>
      <c r="AB241" s="4">
        <f t="shared" si="34"/>
        <v>1</v>
      </c>
      <c r="AC241" s="4">
        <f>SUM(Table1_2[[#This Row],[bp score]],Table1_2[[#This Row],[bmi score]],Table1_2[[#This Row],[Csmoking score]],Table1_2[[#This Row],[Condition score]],Table1_2[[#This Row],[Cholesterol score]],)</f>
        <v>3</v>
      </c>
      <c r="AD241" s="4" t="str">
        <f t="shared" si="35"/>
        <v>Medium risk</v>
      </c>
    </row>
    <row r="242" spans="1:30" x14ac:dyDescent="0.35">
      <c r="A242" s="4" t="s">
        <v>718</v>
      </c>
      <c r="B242" s="4" t="s">
        <v>719</v>
      </c>
      <c r="C242">
        <v>48</v>
      </c>
      <c r="D242" s="4" t="s">
        <v>32</v>
      </c>
      <c r="E242" s="4" t="s">
        <v>65</v>
      </c>
      <c r="F242" s="4" t="s">
        <v>52</v>
      </c>
      <c r="G242">
        <v>21.1</v>
      </c>
      <c r="H242">
        <v>149</v>
      </c>
      <c r="I242">
        <v>84</v>
      </c>
      <c r="J242">
        <v>196</v>
      </c>
      <c r="K242">
        <v>137</v>
      </c>
      <c r="L242" s="4" t="s">
        <v>860</v>
      </c>
      <c r="M242">
        <v>6</v>
      </c>
      <c r="N242">
        <v>4</v>
      </c>
      <c r="O242" s="4" t="s">
        <v>25</v>
      </c>
      <c r="P242" s="5">
        <v>45254</v>
      </c>
      <c r="Q242">
        <v>17</v>
      </c>
      <c r="R242">
        <v>8</v>
      </c>
      <c r="S242" s="4" t="s">
        <v>99</v>
      </c>
      <c r="T242" s="4" t="s">
        <v>862</v>
      </c>
      <c r="U242" t="str">
        <f t="shared" si="27"/>
        <v>Normal</v>
      </c>
      <c r="V242" s="4" t="str">
        <f t="shared" si="28"/>
        <v>Elder</v>
      </c>
      <c r="W242" s="4" t="str">
        <f t="shared" si="29"/>
        <v>High Bp</v>
      </c>
      <c r="X242" s="4">
        <f t="shared" si="30"/>
        <v>1</v>
      </c>
      <c r="Y242" s="4">
        <f t="shared" si="31"/>
        <v>0</v>
      </c>
      <c r="Z242" s="4">
        <f t="shared" si="32"/>
        <v>0</v>
      </c>
      <c r="AA242" s="4">
        <f t="shared" si="33"/>
        <v>1</v>
      </c>
      <c r="AB242" s="4">
        <f t="shared" si="34"/>
        <v>0</v>
      </c>
      <c r="AC242" s="4">
        <f>SUM(Table1_2[[#This Row],[bp score]],Table1_2[[#This Row],[bmi score]],Table1_2[[#This Row],[Csmoking score]],Table1_2[[#This Row],[Condition score]],Table1_2[[#This Row],[Cholesterol score]],)</f>
        <v>2</v>
      </c>
      <c r="AD242" s="4" t="str">
        <f t="shared" si="35"/>
        <v>Medium risk</v>
      </c>
    </row>
    <row r="243" spans="1:30" x14ac:dyDescent="0.35">
      <c r="A243" s="4" t="s">
        <v>721</v>
      </c>
      <c r="B243" s="4" t="s">
        <v>722</v>
      </c>
      <c r="C243">
        <v>30</v>
      </c>
      <c r="D243" s="4" t="s">
        <v>32</v>
      </c>
      <c r="E243" s="4" t="s">
        <v>131</v>
      </c>
      <c r="F243" s="4" t="s">
        <v>90</v>
      </c>
      <c r="G243">
        <v>32.4</v>
      </c>
      <c r="H243">
        <v>134</v>
      </c>
      <c r="I243">
        <v>104</v>
      </c>
      <c r="J243">
        <v>265</v>
      </c>
      <c r="K243">
        <v>118</v>
      </c>
      <c r="L243" s="4" t="s">
        <v>860</v>
      </c>
      <c r="M243">
        <v>0</v>
      </c>
      <c r="N243">
        <v>3</v>
      </c>
      <c r="O243" s="4" t="s">
        <v>25</v>
      </c>
      <c r="P243" s="5">
        <v>44259</v>
      </c>
      <c r="Q243">
        <v>9</v>
      </c>
      <c r="R243">
        <v>8</v>
      </c>
      <c r="S243" s="4" t="s">
        <v>60</v>
      </c>
      <c r="T243" s="4" t="s">
        <v>100</v>
      </c>
      <c r="U243" t="str">
        <f t="shared" si="27"/>
        <v>Obese</v>
      </c>
      <c r="V243" s="4" t="str">
        <f t="shared" si="28"/>
        <v>Young adult</v>
      </c>
      <c r="W243" s="4" t="str">
        <f t="shared" si="29"/>
        <v>High Bp</v>
      </c>
      <c r="X243" s="4">
        <f t="shared" si="30"/>
        <v>1</v>
      </c>
      <c r="Y243" s="4">
        <f t="shared" si="31"/>
        <v>1</v>
      </c>
      <c r="Z243" s="4">
        <f t="shared" si="32"/>
        <v>0</v>
      </c>
      <c r="AA243" s="4">
        <f t="shared" si="33"/>
        <v>1</v>
      </c>
      <c r="AB243" s="4">
        <f t="shared" si="34"/>
        <v>1</v>
      </c>
      <c r="AC243" s="4">
        <f>SUM(Table1_2[[#This Row],[bp score]],Table1_2[[#This Row],[bmi score]],Table1_2[[#This Row],[Csmoking score]],Table1_2[[#This Row],[Condition score]],Table1_2[[#This Row],[Cholesterol score]],)</f>
        <v>4</v>
      </c>
      <c r="AD243" s="4" t="str">
        <f t="shared" si="35"/>
        <v>High risk</v>
      </c>
    </row>
    <row r="244" spans="1:30" x14ac:dyDescent="0.35">
      <c r="A244" s="4" t="s">
        <v>724</v>
      </c>
      <c r="B244" s="4" t="s">
        <v>725</v>
      </c>
      <c r="C244">
        <v>27</v>
      </c>
      <c r="D244" s="4" t="s">
        <v>32</v>
      </c>
      <c r="E244" s="4" t="s">
        <v>161</v>
      </c>
      <c r="F244" s="4" t="s">
        <v>90</v>
      </c>
      <c r="G244">
        <v>22.4</v>
      </c>
      <c r="H244">
        <v>153</v>
      </c>
      <c r="I244">
        <v>79</v>
      </c>
      <c r="J244">
        <v>267</v>
      </c>
      <c r="K244">
        <v>165</v>
      </c>
      <c r="L244" s="4" t="s">
        <v>859</v>
      </c>
      <c r="M244">
        <v>0</v>
      </c>
      <c r="N244">
        <v>6</v>
      </c>
      <c r="O244" s="4" t="s">
        <v>35</v>
      </c>
      <c r="P244" s="5">
        <v>44570</v>
      </c>
      <c r="Q244">
        <v>12</v>
      </c>
      <c r="R244">
        <v>2</v>
      </c>
      <c r="S244" s="4" t="s">
        <v>38</v>
      </c>
      <c r="T244" s="4" t="s">
        <v>100</v>
      </c>
      <c r="U244" t="str">
        <f t="shared" si="27"/>
        <v>Normal</v>
      </c>
      <c r="V244" s="4" t="str">
        <f t="shared" si="28"/>
        <v>Young adult</v>
      </c>
      <c r="W244" s="4" t="str">
        <f t="shared" si="29"/>
        <v>High Bp</v>
      </c>
      <c r="X244" s="4">
        <f t="shared" si="30"/>
        <v>1</v>
      </c>
      <c r="Y244" s="4">
        <f t="shared" si="31"/>
        <v>0</v>
      </c>
      <c r="Z244" s="4">
        <f t="shared" si="32"/>
        <v>1</v>
      </c>
      <c r="AA244" s="4">
        <f t="shared" si="33"/>
        <v>1</v>
      </c>
      <c r="AB244" s="4">
        <f t="shared" si="34"/>
        <v>1</v>
      </c>
      <c r="AC244" s="4">
        <f>SUM(Table1_2[[#This Row],[bp score]],Table1_2[[#This Row],[bmi score]],Table1_2[[#This Row],[Csmoking score]],Table1_2[[#This Row],[Condition score]],Table1_2[[#This Row],[Cholesterol score]],)</f>
        <v>4</v>
      </c>
      <c r="AD244" s="4" t="str">
        <f t="shared" si="35"/>
        <v>High risk</v>
      </c>
    </row>
    <row r="245" spans="1:30" x14ac:dyDescent="0.35">
      <c r="A245" s="4" t="s">
        <v>727</v>
      </c>
      <c r="B245" s="4" t="s">
        <v>223</v>
      </c>
      <c r="C245">
        <v>38</v>
      </c>
      <c r="D245" s="4" t="s">
        <v>32</v>
      </c>
      <c r="E245" s="4" t="s">
        <v>161</v>
      </c>
      <c r="F245" s="4" t="s">
        <v>82</v>
      </c>
      <c r="G245">
        <v>41.4</v>
      </c>
      <c r="H245">
        <v>131</v>
      </c>
      <c r="I245">
        <v>84</v>
      </c>
      <c r="J245">
        <v>253</v>
      </c>
      <c r="K245">
        <v>133</v>
      </c>
      <c r="L245" s="4" t="s">
        <v>859</v>
      </c>
      <c r="M245">
        <v>3</v>
      </c>
      <c r="N245">
        <v>8</v>
      </c>
      <c r="O245" s="4" t="s">
        <v>35</v>
      </c>
      <c r="P245" s="5">
        <v>44786</v>
      </c>
      <c r="Q245">
        <v>9</v>
      </c>
      <c r="R245">
        <v>10</v>
      </c>
      <c r="S245" s="4" t="s">
        <v>60</v>
      </c>
      <c r="T245" s="4" t="s">
        <v>862</v>
      </c>
      <c r="U245" t="str">
        <f t="shared" si="27"/>
        <v>Obese</v>
      </c>
      <c r="V245" s="4" t="str">
        <f t="shared" si="28"/>
        <v>Adult</v>
      </c>
      <c r="W245" s="4" t="str">
        <f t="shared" si="29"/>
        <v>High Bp</v>
      </c>
      <c r="X245" s="4">
        <f t="shared" si="30"/>
        <v>1</v>
      </c>
      <c r="Y245" s="4">
        <f t="shared" si="31"/>
        <v>1</v>
      </c>
      <c r="Z245" s="4">
        <f t="shared" si="32"/>
        <v>1</v>
      </c>
      <c r="AA245" s="4">
        <f t="shared" si="33"/>
        <v>1</v>
      </c>
      <c r="AB245" s="4">
        <f t="shared" si="34"/>
        <v>1</v>
      </c>
      <c r="AC245" s="4">
        <f>SUM(Table1_2[[#This Row],[bp score]],Table1_2[[#This Row],[bmi score]],Table1_2[[#This Row],[Csmoking score]],Table1_2[[#This Row],[Condition score]],Table1_2[[#This Row],[Cholesterol score]],)</f>
        <v>5</v>
      </c>
      <c r="AD245" s="4" t="str">
        <f t="shared" si="35"/>
        <v>High risk</v>
      </c>
    </row>
    <row r="246" spans="1:30" x14ac:dyDescent="0.35">
      <c r="A246" s="4" t="s">
        <v>729</v>
      </c>
      <c r="B246" s="4" t="s">
        <v>730</v>
      </c>
      <c r="C246">
        <v>29</v>
      </c>
      <c r="D246" s="4" t="s">
        <v>32</v>
      </c>
      <c r="E246" s="4" t="s">
        <v>161</v>
      </c>
      <c r="F246" s="4" t="s">
        <v>57</v>
      </c>
      <c r="G246">
        <v>22</v>
      </c>
      <c r="H246">
        <v>106</v>
      </c>
      <c r="I246">
        <v>102</v>
      </c>
      <c r="J246">
        <v>195</v>
      </c>
      <c r="K246">
        <v>98</v>
      </c>
      <c r="L246" s="4" t="s">
        <v>861</v>
      </c>
      <c r="M246">
        <v>7</v>
      </c>
      <c r="N246">
        <v>7</v>
      </c>
      <c r="O246" s="4" t="s">
        <v>35</v>
      </c>
      <c r="P246" s="5">
        <v>44281</v>
      </c>
      <c r="Q246">
        <v>8</v>
      </c>
      <c r="R246">
        <v>18</v>
      </c>
      <c r="S246" s="4" t="s">
        <v>92</v>
      </c>
      <c r="T246" s="4" t="s">
        <v>100</v>
      </c>
      <c r="U246" t="str">
        <f t="shared" si="27"/>
        <v>Normal</v>
      </c>
      <c r="V246" s="4" t="str">
        <f t="shared" si="28"/>
        <v>Young adult</v>
      </c>
      <c r="W246" s="4" t="str">
        <f t="shared" si="29"/>
        <v>High Bp</v>
      </c>
      <c r="X246" s="4">
        <f t="shared" si="30"/>
        <v>1</v>
      </c>
      <c r="Y246" s="4">
        <f t="shared" si="31"/>
        <v>0</v>
      </c>
      <c r="Z246" s="4">
        <f t="shared" si="32"/>
        <v>0</v>
      </c>
      <c r="AA246" s="4">
        <f t="shared" si="33"/>
        <v>1</v>
      </c>
      <c r="AB246" s="4">
        <f t="shared" si="34"/>
        <v>0</v>
      </c>
      <c r="AC246" s="4">
        <f>SUM(Table1_2[[#This Row],[bp score]],Table1_2[[#This Row],[bmi score]],Table1_2[[#This Row],[Csmoking score]],Table1_2[[#This Row],[Condition score]],Table1_2[[#This Row],[Cholesterol score]],)</f>
        <v>2</v>
      </c>
      <c r="AD246" s="4" t="str">
        <f t="shared" si="35"/>
        <v>Medium risk</v>
      </c>
    </row>
    <row r="247" spans="1:30" x14ac:dyDescent="0.35">
      <c r="A247" s="4" t="s">
        <v>732</v>
      </c>
      <c r="B247" s="4" t="s">
        <v>733</v>
      </c>
      <c r="C247">
        <v>24</v>
      </c>
      <c r="D247" s="4" t="s">
        <v>73</v>
      </c>
      <c r="E247" s="4" t="s">
        <v>33</v>
      </c>
      <c r="F247" s="4" t="s">
        <v>24</v>
      </c>
      <c r="G247">
        <v>26.3</v>
      </c>
      <c r="H247">
        <v>111</v>
      </c>
      <c r="I247">
        <v>75</v>
      </c>
      <c r="J247">
        <v>180</v>
      </c>
      <c r="K247">
        <v>197</v>
      </c>
      <c r="L247" s="4" t="s">
        <v>860</v>
      </c>
      <c r="M247">
        <v>7</v>
      </c>
      <c r="N247">
        <v>10</v>
      </c>
      <c r="O247" s="4" t="s">
        <v>35</v>
      </c>
      <c r="P247" s="5">
        <v>44208</v>
      </c>
      <c r="Q247">
        <v>20</v>
      </c>
      <c r="R247">
        <v>4</v>
      </c>
      <c r="S247" s="4" t="s">
        <v>38</v>
      </c>
      <c r="T247" s="4" t="s">
        <v>863</v>
      </c>
      <c r="U247" t="str">
        <f t="shared" si="27"/>
        <v>Overweight</v>
      </c>
      <c r="V247" s="4" t="str">
        <f t="shared" si="28"/>
        <v>Young adult</v>
      </c>
      <c r="W247" s="4" t="str">
        <f t="shared" si="29"/>
        <v>Normal</v>
      </c>
      <c r="X247" s="4">
        <f t="shared" si="30"/>
        <v>0</v>
      </c>
      <c r="Y247" s="4">
        <f t="shared" si="31"/>
        <v>0</v>
      </c>
      <c r="Z247" s="4">
        <f t="shared" si="32"/>
        <v>0</v>
      </c>
      <c r="AA247" s="4">
        <f t="shared" si="33"/>
        <v>1</v>
      </c>
      <c r="AB247" s="4">
        <f t="shared" si="34"/>
        <v>0</v>
      </c>
      <c r="AC247" s="4">
        <f>SUM(Table1_2[[#This Row],[bp score]],Table1_2[[#This Row],[bmi score]],Table1_2[[#This Row],[Csmoking score]],Table1_2[[#This Row],[Condition score]],Table1_2[[#This Row],[Cholesterol score]],)</f>
        <v>1</v>
      </c>
      <c r="AD247" s="4" t="str">
        <f t="shared" si="35"/>
        <v>Low risk</v>
      </c>
    </row>
    <row r="248" spans="1:30" x14ac:dyDescent="0.35">
      <c r="A248" s="4" t="s">
        <v>735</v>
      </c>
      <c r="B248" s="4" t="s">
        <v>736</v>
      </c>
      <c r="C248">
        <v>36</v>
      </c>
      <c r="D248" s="4" t="s">
        <v>73</v>
      </c>
      <c r="E248" s="4" t="s">
        <v>131</v>
      </c>
      <c r="F248" s="4" t="s">
        <v>117</v>
      </c>
      <c r="G248">
        <v>37.1</v>
      </c>
      <c r="H248">
        <v>156</v>
      </c>
      <c r="I248">
        <v>72</v>
      </c>
      <c r="J248">
        <v>145</v>
      </c>
      <c r="K248">
        <v>246</v>
      </c>
      <c r="L248" s="4" t="s">
        <v>860</v>
      </c>
      <c r="M248">
        <v>5</v>
      </c>
      <c r="N248">
        <v>3</v>
      </c>
      <c r="O248" s="4" t="s">
        <v>25</v>
      </c>
      <c r="P248" s="5">
        <v>44431</v>
      </c>
      <c r="Q248">
        <v>14</v>
      </c>
      <c r="R248">
        <v>17</v>
      </c>
      <c r="S248" s="4" t="s">
        <v>78</v>
      </c>
      <c r="T248" s="4" t="s">
        <v>100</v>
      </c>
      <c r="U248" t="str">
        <f t="shared" si="27"/>
        <v>Obese</v>
      </c>
      <c r="V248" s="4" t="str">
        <f t="shared" si="28"/>
        <v>Adult</v>
      </c>
      <c r="W248" s="4" t="str">
        <f t="shared" si="29"/>
        <v>High Bp</v>
      </c>
      <c r="X248" s="4">
        <f t="shared" si="30"/>
        <v>1</v>
      </c>
      <c r="Y248" s="4">
        <f t="shared" si="31"/>
        <v>1</v>
      </c>
      <c r="Z248" s="4">
        <f t="shared" si="32"/>
        <v>0</v>
      </c>
      <c r="AA248" s="4">
        <f t="shared" si="33"/>
        <v>0</v>
      </c>
      <c r="AB248" s="4">
        <f t="shared" si="34"/>
        <v>0</v>
      </c>
      <c r="AC248" s="4">
        <f>SUM(Table1_2[[#This Row],[bp score]],Table1_2[[#This Row],[bmi score]],Table1_2[[#This Row],[Csmoking score]],Table1_2[[#This Row],[Condition score]],Table1_2[[#This Row],[Cholesterol score]],)</f>
        <v>2</v>
      </c>
      <c r="AD248" s="4" t="str">
        <f t="shared" si="35"/>
        <v>Medium risk</v>
      </c>
    </row>
    <row r="249" spans="1:30" x14ac:dyDescent="0.35">
      <c r="A249" s="4" t="s">
        <v>737</v>
      </c>
      <c r="B249" s="4" t="s">
        <v>661</v>
      </c>
      <c r="C249">
        <v>58</v>
      </c>
      <c r="D249" s="4" t="s">
        <v>32</v>
      </c>
      <c r="E249" s="4" t="s">
        <v>131</v>
      </c>
      <c r="F249" s="4" t="s">
        <v>117</v>
      </c>
      <c r="G249">
        <v>25.1</v>
      </c>
      <c r="H249">
        <v>159</v>
      </c>
      <c r="I249">
        <v>77</v>
      </c>
      <c r="J249">
        <v>181</v>
      </c>
      <c r="K249">
        <v>87</v>
      </c>
      <c r="L249" s="4" t="s">
        <v>860</v>
      </c>
      <c r="M249">
        <v>2</v>
      </c>
      <c r="N249">
        <v>8</v>
      </c>
      <c r="O249" s="4" t="s">
        <v>25</v>
      </c>
      <c r="P249" s="5">
        <v>45181</v>
      </c>
      <c r="Q249">
        <v>14</v>
      </c>
      <c r="R249">
        <v>0</v>
      </c>
      <c r="S249" s="4" t="s">
        <v>78</v>
      </c>
      <c r="T249" s="4" t="s">
        <v>100</v>
      </c>
      <c r="U249" t="str">
        <f t="shared" si="27"/>
        <v>Overweight</v>
      </c>
      <c r="V249" s="4" t="str">
        <f t="shared" si="28"/>
        <v>Aged</v>
      </c>
      <c r="W249" s="4" t="str">
        <f t="shared" si="29"/>
        <v>High Bp</v>
      </c>
      <c r="X249" s="4">
        <f t="shared" si="30"/>
        <v>1</v>
      </c>
      <c r="Y249" s="4">
        <f t="shared" si="31"/>
        <v>0</v>
      </c>
      <c r="Z249" s="4">
        <f t="shared" si="32"/>
        <v>0</v>
      </c>
      <c r="AA249" s="4">
        <f t="shared" si="33"/>
        <v>0</v>
      </c>
      <c r="AB249" s="4">
        <f t="shared" si="34"/>
        <v>0</v>
      </c>
      <c r="AC249" s="4">
        <f>SUM(Table1_2[[#This Row],[bp score]],Table1_2[[#This Row],[bmi score]],Table1_2[[#This Row],[Csmoking score]],Table1_2[[#This Row],[Condition score]],Table1_2[[#This Row],[Cholesterol score]],)</f>
        <v>1</v>
      </c>
      <c r="AD249" s="4" t="str">
        <f t="shared" si="35"/>
        <v>Low risk</v>
      </c>
    </row>
    <row r="250" spans="1:30" x14ac:dyDescent="0.35">
      <c r="A250" s="4" t="s">
        <v>739</v>
      </c>
      <c r="B250" s="4" t="s">
        <v>740</v>
      </c>
      <c r="C250">
        <v>23</v>
      </c>
      <c r="D250" s="4" t="s">
        <v>73</v>
      </c>
      <c r="E250" s="4" t="s">
        <v>33</v>
      </c>
      <c r="F250" s="4" t="s">
        <v>52</v>
      </c>
      <c r="G250">
        <v>25</v>
      </c>
      <c r="H250">
        <v>108</v>
      </c>
      <c r="I250">
        <v>102</v>
      </c>
      <c r="J250">
        <v>277</v>
      </c>
      <c r="K250">
        <v>169</v>
      </c>
      <c r="L250" s="4" t="s">
        <v>861</v>
      </c>
      <c r="M250">
        <v>0</v>
      </c>
      <c r="N250">
        <v>8</v>
      </c>
      <c r="O250" s="4" t="s">
        <v>25</v>
      </c>
      <c r="P250" s="5">
        <v>45091</v>
      </c>
      <c r="Q250">
        <v>20</v>
      </c>
      <c r="R250">
        <v>10</v>
      </c>
      <c r="S250" s="4" t="s">
        <v>92</v>
      </c>
      <c r="T250" s="4" t="s">
        <v>863</v>
      </c>
      <c r="U250" t="str">
        <f t="shared" si="27"/>
        <v>Overweight</v>
      </c>
      <c r="V250" s="4" t="str">
        <f t="shared" si="28"/>
        <v>Young adult</v>
      </c>
      <c r="W250" s="4" t="str">
        <f t="shared" si="29"/>
        <v>High Bp</v>
      </c>
      <c r="X250" s="4">
        <f t="shared" si="30"/>
        <v>1</v>
      </c>
      <c r="Y250" s="4">
        <f t="shared" si="31"/>
        <v>0</v>
      </c>
      <c r="Z250" s="4">
        <f t="shared" si="32"/>
        <v>0</v>
      </c>
      <c r="AA250" s="4">
        <f t="shared" si="33"/>
        <v>1</v>
      </c>
      <c r="AB250" s="4">
        <f t="shared" si="34"/>
        <v>1</v>
      </c>
      <c r="AC250" s="4">
        <f>SUM(Table1_2[[#This Row],[bp score]],Table1_2[[#This Row],[bmi score]],Table1_2[[#This Row],[Csmoking score]],Table1_2[[#This Row],[Condition score]],Table1_2[[#This Row],[Cholesterol score]],)</f>
        <v>3</v>
      </c>
      <c r="AD250" s="4" t="str">
        <f t="shared" si="35"/>
        <v>Medium risk</v>
      </c>
    </row>
    <row r="251" spans="1:30" x14ac:dyDescent="0.35">
      <c r="A251" s="4" t="s">
        <v>741</v>
      </c>
      <c r="B251" s="4" t="s">
        <v>264</v>
      </c>
      <c r="C251">
        <v>24</v>
      </c>
      <c r="D251" s="4" t="s">
        <v>32</v>
      </c>
      <c r="E251" s="4" t="s">
        <v>33</v>
      </c>
      <c r="F251" s="4" t="s">
        <v>117</v>
      </c>
      <c r="G251">
        <v>22.1</v>
      </c>
      <c r="H251">
        <v>162</v>
      </c>
      <c r="I251">
        <v>72</v>
      </c>
      <c r="J251">
        <v>165</v>
      </c>
      <c r="K251">
        <v>78</v>
      </c>
      <c r="L251" s="4" t="s">
        <v>100</v>
      </c>
      <c r="M251">
        <v>7</v>
      </c>
      <c r="N251">
        <v>7</v>
      </c>
      <c r="O251" s="4" t="s">
        <v>35</v>
      </c>
      <c r="P251" s="5">
        <v>44938</v>
      </c>
      <c r="Q251">
        <v>7</v>
      </c>
      <c r="R251">
        <v>19</v>
      </c>
      <c r="S251" s="4" t="s">
        <v>92</v>
      </c>
      <c r="T251" s="4" t="s">
        <v>862</v>
      </c>
      <c r="U251" t="str">
        <f t="shared" si="27"/>
        <v>Normal</v>
      </c>
      <c r="V251" s="4" t="str">
        <f t="shared" si="28"/>
        <v>Young adult</v>
      </c>
      <c r="W251" s="4" t="str">
        <f t="shared" si="29"/>
        <v>High Bp</v>
      </c>
      <c r="X251" s="4">
        <f t="shared" si="30"/>
        <v>1</v>
      </c>
      <c r="Y251" s="4">
        <f t="shared" si="31"/>
        <v>0</v>
      </c>
      <c r="Z251" s="4">
        <f t="shared" si="32"/>
        <v>0</v>
      </c>
      <c r="AA251" s="4">
        <f t="shared" si="33"/>
        <v>1</v>
      </c>
      <c r="AB251" s="4">
        <f t="shared" si="34"/>
        <v>0</v>
      </c>
      <c r="AC251" s="4">
        <f>SUM(Table1_2[[#This Row],[bp score]],Table1_2[[#This Row],[bmi score]],Table1_2[[#This Row],[Csmoking score]],Table1_2[[#This Row],[Condition score]],Table1_2[[#This Row],[Cholesterol score]],)</f>
        <v>2</v>
      </c>
      <c r="AD251" s="4" t="str">
        <f t="shared" si="35"/>
        <v>Medium risk</v>
      </c>
    </row>
    <row r="252" spans="1:30" x14ac:dyDescent="0.35">
      <c r="A252" s="4" t="s">
        <v>743</v>
      </c>
      <c r="B252" s="4" t="s">
        <v>56</v>
      </c>
      <c r="C252">
        <v>27</v>
      </c>
      <c r="D252" s="4" t="s">
        <v>73</v>
      </c>
      <c r="E252" s="4" t="s">
        <v>161</v>
      </c>
      <c r="F252" s="4" t="s">
        <v>117</v>
      </c>
      <c r="G252">
        <v>31</v>
      </c>
      <c r="H252">
        <v>153</v>
      </c>
      <c r="I252">
        <v>83</v>
      </c>
      <c r="J252">
        <v>154</v>
      </c>
      <c r="K252">
        <v>227</v>
      </c>
      <c r="L252" s="4" t="s">
        <v>859</v>
      </c>
      <c r="M252">
        <v>0</v>
      </c>
      <c r="N252">
        <v>1</v>
      </c>
      <c r="O252" s="4" t="s">
        <v>35</v>
      </c>
      <c r="P252" s="5">
        <v>44964</v>
      </c>
      <c r="Q252">
        <v>16</v>
      </c>
      <c r="R252">
        <v>3</v>
      </c>
      <c r="S252" s="4" t="s">
        <v>92</v>
      </c>
      <c r="T252" s="4" t="s">
        <v>862</v>
      </c>
      <c r="U252" t="str">
        <f t="shared" si="27"/>
        <v>Obese</v>
      </c>
      <c r="V252" s="4" t="str">
        <f t="shared" si="28"/>
        <v>Young adult</v>
      </c>
      <c r="W252" s="4" t="str">
        <f t="shared" si="29"/>
        <v>High Bp</v>
      </c>
      <c r="X252" s="4">
        <f t="shared" si="30"/>
        <v>1</v>
      </c>
      <c r="Y252" s="4">
        <f t="shared" si="31"/>
        <v>1</v>
      </c>
      <c r="Z252" s="4">
        <f t="shared" si="32"/>
        <v>1</v>
      </c>
      <c r="AA252" s="4">
        <f t="shared" si="33"/>
        <v>1</v>
      </c>
      <c r="AB252" s="4">
        <f t="shared" si="34"/>
        <v>0</v>
      </c>
      <c r="AC252" s="4">
        <f>SUM(Table1_2[[#This Row],[bp score]],Table1_2[[#This Row],[bmi score]],Table1_2[[#This Row],[Csmoking score]],Table1_2[[#This Row],[Condition score]],Table1_2[[#This Row],[Cholesterol score]],)</f>
        <v>4</v>
      </c>
      <c r="AD252" s="4" t="str">
        <f t="shared" si="35"/>
        <v>High risk</v>
      </c>
    </row>
    <row r="253" spans="1:30" x14ac:dyDescent="0.35">
      <c r="A253" s="4" t="s">
        <v>745</v>
      </c>
      <c r="B253" s="4" t="s">
        <v>746</v>
      </c>
      <c r="C253">
        <v>34</v>
      </c>
      <c r="D253" s="4" t="s">
        <v>73</v>
      </c>
      <c r="E253" s="4" t="s">
        <v>131</v>
      </c>
      <c r="F253" s="4" t="s">
        <v>52</v>
      </c>
      <c r="G253">
        <v>31.3</v>
      </c>
      <c r="H253">
        <v>122</v>
      </c>
      <c r="I253">
        <v>95</v>
      </c>
      <c r="J253">
        <v>246</v>
      </c>
      <c r="K253">
        <v>97</v>
      </c>
      <c r="L253" s="4" t="s">
        <v>100</v>
      </c>
      <c r="M253">
        <v>5</v>
      </c>
      <c r="N253">
        <v>8</v>
      </c>
      <c r="O253" s="4" t="s">
        <v>25</v>
      </c>
      <c r="P253" s="5">
        <v>44281</v>
      </c>
      <c r="Q253">
        <v>5</v>
      </c>
      <c r="R253">
        <v>17</v>
      </c>
      <c r="S253" s="4" t="s">
        <v>99</v>
      </c>
      <c r="T253" s="4" t="s">
        <v>100</v>
      </c>
      <c r="U253" t="str">
        <f t="shared" si="27"/>
        <v>Obese</v>
      </c>
      <c r="V253" s="4" t="str">
        <f t="shared" si="28"/>
        <v>Adult</v>
      </c>
      <c r="W253" s="4" t="str">
        <f t="shared" si="29"/>
        <v>High Bp</v>
      </c>
      <c r="X253" s="4">
        <f t="shared" si="30"/>
        <v>1</v>
      </c>
      <c r="Y253" s="4">
        <f t="shared" si="31"/>
        <v>1</v>
      </c>
      <c r="Z253" s="4">
        <f t="shared" si="32"/>
        <v>0</v>
      </c>
      <c r="AA253" s="4">
        <f t="shared" si="33"/>
        <v>1</v>
      </c>
      <c r="AB253" s="4">
        <f t="shared" si="34"/>
        <v>1</v>
      </c>
      <c r="AC253" s="4">
        <f>SUM(Table1_2[[#This Row],[bp score]],Table1_2[[#This Row],[bmi score]],Table1_2[[#This Row],[Csmoking score]],Table1_2[[#This Row],[Condition score]],Table1_2[[#This Row],[Cholesterol score]],)</f>
        <v>4</v>
      </c>
      <c r="AD253" s="4" t="str">
        <f t="shared" si="35"/>
        <v>High risk</v>
      </c>
    </row>
    <row r="254" spans="1:30" x14ac:dyDescent="0.35">
      <c r="A254" s="4" t="s">
        <v>747</v>
      </c>
      <c r="B254" s="4" t="s">
        <v>748</v>
      </c>
      <c r="C254">
        <v>56</v>
      </c>
      <c r="D254" s="4" t="s">
        <v>73</v>
      </c>
      <c r="E254" s="4" t="s">
        <v>127</v>
      </c>
      <c r="F254" s="4" t="s">
        <v>117</v>
      </c>
      <c r="G254">
        <v>30.8</v>
      </c>
      <c r="H254">
        <v>141</v>
      </c>
      <c r="I254">
        <v>83</v>
      </c>
      <c r="J254">
        <v>245</v>
      </c>
      <c r="K254">
        <v>232</v>
      </c>
      <c r="L254" s="4" t="s">
        <v>860</v>
      </c>
      <c r="M254">
        <v>5</v>
      </c>
      <c r="N254">
        <v>10</v>
      </c>
      <c r="O254" s="4" t="s">
        <v>35</v>
      </c>
      <c r="P254" s="5">
        <v>44767</v>
      </c>
      <c r="Q254">
        <v>17</v>
      </c>
      <c r="R254">
        <v>8</v>
      </c>
      <c r="S254" s="4" t="s">
        <v>78</v>
      </c>
      <c r="T254" s="4" t="s">
        <v>100</v>
      </c>
      <c r="U254" t="str">
        <f t="shared" si="27"/>
        <v>Obese</v>
      </c>
      <c r="V254" s="4" t="str">
        <f t="shared" si="28"/>
        <v>Aged</v>
      </c>
      <c r="W254" s="4" t="str">
        <f t="shared" si="29"/>
        <v>High Bp</v>
      </c>
      <c r="X254" s="4">
        <f t="shared" si="30"/>
        <v>1</v>
      </c>
      <c r="Y254" s="4">
        <f t="shared" si="31"/>
        <v>1</v>
      </c>
      <c r="Z254" s="4">
        <f t="shared" si="32"/>
        <v>0</v>
      </c>
      <c r="AA254" s="4">
        <f t="shared" si="33"/>
        <v>0</v>
      </c>
      <c r="AB254" s="4">
        <f t="shared" si="34"/>
        <v>1</v>
      </c>
      <c r="AC254" s="4">
        <f>SUM(Table1_2[[#This Row],[bp score]],Table1_2[[#This Row],[bmi score]],Table1_2[[#This Row],[Csmoking score]],Table1_2[[#This Row],[Condition score]],Table1_2[[#This Row],[Cholesterol score]],)</f>
        <v>3</v>
      </c>
      <c r="AD254" s="4" t="str">
        <f t="shared" si="35"/>
        <v>Medium risk</v>
      </c>
    </row>
    <row r="255" spans="1:30" x14ac:dyDescent="0.35">
      <c r="A255" s="4" t="s">
        <v>750</v>
      </c>
      <c r="B255" s="4" t="s">
        <v>751</v>
      </c>
      <c r="C255">
        <v>22</v>
      </c>
      <c r="D255" s="4" t="s">
        <v>32</v>
      </c>
      <c r="E255" s="4" t="s">
        <v>74</v>
      </c>
      <c r="F255" s="4" t="s">
        <v>66</v>
      </c>
      <c r="G255">
        <v>17.399999999999999</v>
      </c>
      <c r="H255">
        <v>117</v>
      </c>
      <c r="I255">
        <v>79</v>
      </c>
      <c r="J255">
        <v>141</v>
      </c>
      <c r="K255">
        <v>146</v>
      </c>
      <c r="L255" s="4" t="s">
        <v>861</v>
      </c>
      <c r="M255">
        <v>3</v>
      </c>
      <c r="N255">
        <v>6</v>
      </c>
      <c r="O255" s="4" t="s">
        <v>25</v>
      </c>
      <c r="P255" s="5">
        <v>45186</v>
      </c>
      <c r="Q255">
        <v>17</v>
      </c>
      <c r="R255">
        <v>18</v>
      </c>
      <c r="S255" s="4" t="s">
        <v>46</v>
      </c>
      <c r="T255" s="4" t="s">
        <v>864</v>
      </c>
      <c r="U255" t="str">
        <f t="shared" si="27"/>
        <v>Underweight</v>
      </c>
      <c r="V255" s="4" t="str">
        <f t="shared" si="28"/>
        <v>Young adult</v>
      </c>
      <c r="W255" s="4" t="str">
        <f t="shared" si="29"/>
        <v>Normal</v>
      </c>
      <c r="X255" s="4">
        <f t="shared" si="30"/>
        <v>0</v>
      </c>
      <c r="Y255" s="4">
        <f t="shared" si="31"/>
        <v>0</v>
      </c>
      <c r="Z255" s="4">
        <f t="shared" si="32"/>
        <v>0</v>
      </c>
      <c r="AA255" s="4">
        <f t="shared" si="33"/>
        <v>0</v>
      </c>
      <c r="AB255" s="4">
        <f t="shared" si="34"/>
        <v>0</v>
      </c>
      <c r="AC255" s="4">
        <f>SUM(Table1_2[[#This Row],[bp score]],Table1_2[[#This Row],[bmi score]],Table1_2[[#This Row],[Csmoking score]],Table1_2[[#This Row],[Condition score]],Table1_2[[#This Row],[Cholesterol score]],)</f>
        <v>0</v>
      </c>
      <c r="AD255" s="4" t="str">
        <f t="shared" si="35"/>
        <v>Low risk</v>
      </c>
    </row>
    <row r="256" spans="1:30" x14ac:dyDescent="0.35">
      <c r="A256" s="4" t="s">
        <v>753</v>
      </c>
      <c r="B256" s="4" t="s">
        <v>754</v>
      </c>
      <c r="C256">
        <v>51</v>
      </c>
      <c r="D256" s="4" t="s">
        <v>73</v>
      </c>
      <c r="E256" s="4" t="s">
        <v>33</v>
      </c>
      <c r="F256" s="4" t="s">
        <v>24</v>
      </c>
      <c r="G256">
        <v>23.6</v>
      </c>
      <c r="H256">
        <v>131</v>
      </c>
      <c r="I256">
        <v>74</v>
      </c>
      <c r="J256">
        <v>205</v>
      </c>
      <c r="K256">
        <v>146</v>
      </c>
      <c r="L256" s="4" t="s">
        <v>860</v>
      </c>
      <c r="M256">
        <v>0</v>
      </c>
      <c r="N256">
        <v>7</v>
      </c>
      <c r="O256" s="4" t="s">
        <v>35</v>
      </c>
      <c r="P256" s="5">
        <v>44541</v>
      </c>
      <c r="Q256">
        <v>15</v>
      </c>
      <c r="R256">
        <v>5</v>
      </c>
      <c r="S256" s="4" t="s">
        <v>92</v>
      </c>
      <c r="T256" s="4" t="s">
        <v>863</v>
      </c>
      <c r="U256" t="str">
        <f t="shared" si="27"/>
        <v>Normal</v>
      </c>
      <c r="V256" s="4" t="str">
        <f t="shared" si="28"/>
        <v>Aged</v>
      </c>
      <c r="W256" s="4" t="str">
        <f t="shared" si="29"/>
        <v>High Bp</v>
      </c>
      <c r="X256" s="4">
        <f t="shared" si="30"/>
        <v>1</v>
      </c>
      <c r="Y256" s="4">
        <f t="shared" si="31"/>
        <v>0</v>
      </c>
      <c r="Z256" s="4">
        <f t="shared" si="32"/>
        <v>0</v>
      </c>
      <c r="AA256" s="4">
        <f t="shared" si="33"/>
        <v>1</v>
      </c>
      <c r="AB256" s="4">
        <f t="shared" si="34"/>
        <v>1</v>
      </c>
      <c r="AC256" s="4">
        <f>SUM(Table1_2[[#This Row],[bp score]],Table1_2[[#This Row],[bmi score]],Table1_2[[#This Row],[Csmoking score]],Table1_2[[#This Row],[Condition score]],Table1_2[[#This Row],[Cholesterol score]],)</f>
        <v>3</v>
      </c>
      <c r="AD256" s="4" t="str">
        <f t="shared" si="35"/>
        <v>Medium risk</v>
      </c>
    </row>
    <row r="257" spans="1:30" x14ac:dyDescent="0.35">
      <c r="A257" s="4" t="s">
        <v>755</v>
      </c>
      <c r="B257" s="4" t="s">
        <v>756</v>
      </c>
      <c r="C257">
        <v>24</v>
      </c>
      <c r="D257" s="4" t="s">
        <v>32</v>
      </c>
      <c r="E257" s="4" t="s">
        <v>131</v>
      </c>
      <c r="F257" s="4" t="s">
        <v>117</v>
      </c>
      <c r="G257">
        <v>40</v>
      </c>
      <c r="H257">
        <v>142</v>
      </c>
      <c r="I257">
        <v>82</v>
      </c>
      <c r="J257">
        <v>251</v>
      </c>
      <c r="K257">
        <v>176</v>
      </c>
      <c r="L257" s="4" t="s">
        <v>860</v>
      </c>
      <c r="M257">
        <v>3</v>
      </c>
      <c r="N257">
        <v>10</v>
      </c>
      <c r="O257" s="4" t="s">
        <v>25</v>
      </c>
      <c r="P257" s="5">
        <v>45301</v>
      </c>
      <c r="Q257">
        <v>16</v>
      </c>
      <c r="R257">
        <v>1</v>
      </c>
      <c r="S257" s="4" t="s">
        <v>78</v>
      </c>
      <c r="T257" s="4" t="s">
        <v>100</v>
      </c>
      <c r="U257" t="str">
        <f t="shared" si="27"/>
        <v>Obese</v>
      </c>
      <c r="V257" s="4" t="str">
        <f t="shared" si="28"/>
        <v>Young adult</v>
      </c>
      <c r="W257" s="4" t="str">
        <f t="shared" si="29"/>
        <v>High Bp</v>
      </c>
      <c r="X257" s="4">
        <f t="shared" si="30"/>
        <v>1</v>
      </c>
      <c r="Y257" s="4">
        <f t="shared" si="31"/>
        <v>1</v>
      </c>
      <c r="Z257" s="4">
        <f t="shared" si="32"/>
        <v>0</v>
      </c>
      <c r="AA257" s="4">
        <f t="shared" si="33"/>
        <v>0</v>
      </c>
      <c r="AB257" s="4">
        <f t="shared" si="34"/>
        <v>1</v>
      </c>
      <c r="AC257" s="4">
        <f>SUM(Table1_2[[#This Row],[bp score]],Table1_2[[#This Row],[bmi score]],Table1_2[[#This Row],[Csmoking score]],Table1_2[[#This Row],[Condition score]],Table1_2[[#This Row],[Cholesterol score]],)</f>
        <v>3</v>
      </c>
      <c r="AD257" s="4" t="str">
        <f t="shared" si="35"/>
        <v>Medium risk</v>
      </c>
    </row>
    <row r="258" spans="1:30" x14ac:dyDescent="0.35">
      <c r="A258" s="4" t="s">
        <v>758</v>
      </c>
      <c r="B258" s="4" t="s">
        <v>278</v>
      </c>
      <c r="C258">
        <v>42</v>
      </c>
      <c r="D258" s="4" t="s">
        <v>73</v>
      </c>
      <c r="E258" s="4" t="s">
        <v>33</v>
      </c>
      <c r="F258" s="4" t="s">
        <v>117</v>
      </c>
      <c r="G258">
        <v>33.799999999999997</v>
      </c>
      <c r="H258">
        <v>150</v>
      </c>
      <c r="I258">
        <v>88</v>
      </c>
      <c r="J258">
        <v>269</v>
      </c>
      <c r="K258">
        <v>93</v>
      </c>
      <c r="L258" s="4" t="s">
        <v>861</v>
      </c>
      <c r="M258">
        <v>6</v>
      </c>
      <c r="N258">
        <v>5</v>
      </c>
      <c r="O258" s="4" t="s">
        <v>25</v>
      </c>
      <c r="P258" s="5">
        <v>44631</v>
      </c>
      <c r="Q258">
        <v>2</v>
      </c>
      <c r="R258">
        <v>15</v>
      </c>
      <c r="S258" s="4" t="s">
        <v>46</v>
      </c>
      <c r="T258" s="4" t="s">
        <v>862</v>
      </c>
      <c r="U258" t="str">
        <f t="shared" ref="U258:U301" si="36">IF(G258&lt;18.5,"Underweight",IF(G258&lt;=24.9,"Normal",IF(G258&lt;=29.9,"Overweight","Obese")))</f>
        <v>Obese</v>
      </c>
      <c r="V258" s="4" t="str">
        <f t="shared" ref="V258:V301" si="37">IF(C258&lt;=30,"Young adult",IF(C258&lt;=40,"Adult",IF(C258&lt;=50,"Elder","Aged")))</f>
        <v>Elder</v>
      </c>
      <c r="W258" s="4" t="str">
        <f t="shared" ref="W258:W301" si="38">IF(OR(H258&lt;90,I258&lt;60), "Low BP",IF(AND(H258&lt;120,I258&lt;80),"Normal",IF(AND(H258&gt;=120,H258&lt;130,I258&lt;80),"Elevated","High Bp")))</f>
        <v>High Bp</v>
      </c>
      <c r="X258" s="4">
        <f t="shared" ref="X258:X301" si="39">IF(W258="HIGH bp",1,0)</f>
        <v>1</v>
      </c>
      <c r="Y258" s="4">
        <f t="shared" ref="Y258:Y301" si="40">IF(U258="obese",1,0)</f>
        <v>1</v>
      </c>
      <c r="Z258" s="4">
        <f t="shared" ref="Z258:Z301" si="41">IF(L258="current smoker",1,0)</f>
        <v>0</v>
      </c>
      <c r="AA258" s="4">
        <f t="shared" ref="AA258:AA301" si="42">IF(S258="none",0,1)</f>
        <v>0</v>
      </c>
      <c r="AB258" s="4">
        <f t="shared" ref="AB258:AB301" si="43">IF(J258&gt;200,1,0)</f>
        <v>1</v>
      </c>
      <c r="AC258" s="4">
        <f>SUM(Table1_2[[#This Row],[bp score]],Table1_2[[#This Row],[bmi score]],Table1_2[[#This Row],[Csmoking score]],Table1_2[[#This Row],[Condition score]],Table1_2[[#This Row],[Cholesterol score]],)</f>
        <v>3</v>
      </c>
      <c r="AD258" s="4" t="str">
        <f t="shared" ref="AD258:AD301" si="44">IF(AC258&gt;=4,"High risk", IF(AC258&gt;=2, "Medium risk", "Low risk"))</f>
        <v>Medium risk</v>
      </c>
    </row>
    <row r="259" spans="1:30" x14ac:dyDescent="0.35">
      <c r="A259" s="4" t="s">
        <v>760</v>
      </c>
      <c r="B259" s="4" t="s">
        <v>746</v>
      </c>
      <c r="C259">
        <v>38</v>
      </c>
      <c r="D259" s="4" t="s">
        <v>73</v>
      </c>
      <c r="E259" s="4" t="s">
        <v>65</v>
      </c>
      <c r="F259" s="4" t="s">
        <v>75</v>
      </c>
      <c r="G259">
        <v>27.9</v>
      </c>
      <c r="H259">
        <v>116</v>
      </c>
      <c r="I259">
        <v>68</v>
      </c>
      <c r="J259">
        <v>263</v>
      </c>
      <c r="K259">
        <v>213</v>
      </c>
      <c r="L259" s="4" t="s">
        <v>861</v>
      </c>
      <c r="M259">
        <v>7</v>
      </c>
      <c r="N259">
        <v>7</v>
      </c>
      <c r="O259" s="4" t="s">
        <v>35</v>
      </c>
      <c r="P259" s="5">
        <v>44654</v>
      </c>
      <c r="Q259">
        <v>8</v>
      </c>
      <c r="R259">
        <v>13</v>
      </c>
      <c r="S259" s="4" t="s">
        <v>78</v>
      </c>
      <c r="T259" s="4" t="s">
        <v>863</v>
      </c>
      <c r="U259" t="str">
        <f t="shared" si="36"/>
        <v>Overweight</v>
      </c>
      <c r="V259" s="4" t="str">
        <f t="shared" si="37"/>
        <v>Adult</v>
      </c>
      <c r="W259" s="4" t="str">
        <f t="shared" si="38"/>
        <v>Normal</v>
      </c>
      <c r="X259" s="4">
        <f t="shared" si="39"/>
        <v>0</v>
      </c>
      <c r="Y259" s="4">
        <f t="shared" si="40"/>
        <v>0</v>
      </c>
      <c r="Z259" s="4">
        <f t="shared" si="41"/>
        <v>0</v>
      </c>
      <c r="AA259" s="4">
        <f t="shared" si="42"/>
        <v>0</v>
      </c>
      <c r="AB259" s="4">
        <f t="shared" si="43"/>
        <v>1</v>
      </c>
      <c r="AC259" s="4">
        <f>SUM(Table1_2[[#This Row],[bp score]],Table1_2[[#This Row],[bmi score]],Table1_2[[#This Row],[Csmoking score]],Table1_2[[#This Row],[Condition score]],Table1_2[[#This Row],[Cholesterol score]],)</f>
        <v>1</v>
      </c>
      <c r="AD259" s="4" t="str">
        <f t="shared" si="44"/>
        <v>Low risk</v>
      </c>
    </row>
    <row r="260" spans="1:30" x14ac:dyDescent="0.35">
      <c r="A260" s="4" t="s">
        <v>762</v>
      </c>
      <c r="B260" s="4" t="s">
        <v>140</v>
      </c>
      <c r="C260">
        <v>49</v>
      </c>
      <c r="D260" s="4" t="s">
        <v>73</v>
      </c>
      <c r="E260" s="4" t="s">
        <v>127</v>
      </c>
      <c r="F260" s="4" t="s">
        <v>52</v>
      </c>
      <c r="G260">
        <v>25</v>
      </c>
      <c r="H260">
        <v>103</v>
      </c>
      <c r="I260">
        <v>79</v>
      </c>
      <c r="J260">
        <v>183</v>
      </c>
      <c r="K260">
        <v>159</v>
      </c>
      <c r="L260" s="4" t="s">
        <v>100</v>
      </c>
      <c r="M260">
        <v>7</v>
      </c>
      <c r="N260">
        <v>10</v>
      </c>
      <c r="O260" s="4" t="s">
        <v>25</v>
      </c>
      <c r="P260" s="5">
        <v>45318</v>
      </c>
      <c r="Q260">
        <v>7</v>
      </c>
      <c r="R260">
        <v>6</v>
      </c>
      <c r="S260" s="4" t="s">
        <v>78</v>
      </c>
      <c r="T260" s="4" t="s">
        <v>864</v>
      </c>
      <c r="U260" t="str">
        <f t="shared" si="36"/>
        <v>Overweight</v>
      </c>
      <c r="V260" s="4" t="str">
        <f t="shared" si="37"/>
        <v>Elder</v>
      </c>
      <c r="W260" s="4" t="str">
        <f t="shared" si="38"/>
        <v>Normal</v>
      </c>
      <c r="X260" s="4">
        <f t="shared" si="39"/>
        <v>0</v>
      </c>
      <c r="Y260" s="4">
        <f t="shared" si="40"/>
        <v>0</v>
      </c>
      <c r="Z260" s="4">
        <f t="shared" si="41"/>
        <v>0</v>
      </c>
      <c r="AA260" s="4">
        <f t="shared" si="42"/>
        <v>0</v>
      </c>
      <c r="AB260" s="4">
        <f t="shared" si="43"/>
        <v>0</v>
      </c>
      <c r="AC260" s="4">
        <f>SUM(Table1_2[[#This Row],[bp score]],Table1_2[[#This Row],[bmi score]],Table1_2[[#This Row],[Csmoking score]],Table1_2[[#This Row],[Condition score]],Table1_2[[#This Row],[Cholesterol score]],)</f>
        <v>0</v>
      </c>
      <c r="AD260" s="4" t="str">
        <f t="shared" si="44"/>
        <v>Low risk</v>
      </c>
    </row>
    <row r="261" spans="1:30" x14ac:dyDescent="0.35">
      <c r="A261" s="4" t="s">
        <v>764</v>
      </c>
      <c r="B261" s="4" t="s">
        <v>501</v>
      </c>
      <c r="C261">
        <v>29</v>
      </c>
      <c r="D261" s="4" t="s">
        <v>32</v>
      </c>
      <c r="E261" s="4" t="s">
        <v>23</v>
      </c>
      <c r="F261" s="4" t="s">
        <v>66</v>
      </c>
      <c r="G261">
        <v>40.200000000000003</v>
      </c>
      <c r="H261">
        <v>136</v>
      </c>
      <c r="I261">
        <v>60</v>
      </c>
      <c r="J261">
        <v>227</v>
      </c>
      <c r="K261">
        <v>247</v>
      </c>
      <c r="L261" s="4" t="s">
        <v>860</v>
      </c>
      <c r="M261">
        <v>4</v>
      </c>
      <c r="N261">
        <v>8</v>
      </c>
      <c r="O261" s="4" t="s">
        <v>35</v>
      </c>
      <c r="P261" s="5">
        <v>44354</v>
      </c>
      <c r="Q261">
        <v>17</v>
      </c>
      <c r="R261">
        <v>6</v>
      </c>
      <c r="S261" s="4" t="s">
        <v>78</v>
      </c>
      <c r="T261" s="4" t="s">
        <v>100</v>
      </c>
      <c r="U261" t="str">
        <f t="shared" si="36"/>
        <v>Obese</v>
      </c>
      <c r="V261" s="4" t="str">
        <f t="shared" si="37"/>
        <v>Young adult</v>
      </c>
      <c r="W261" s="4" t="str">
        <f t="shared" si="38"/>
        <v>High Bp</v>
      </c>
      <c r="X261" s="4">
        <f t="shared" si="39"/>
        <v>1</v>
      </c>
      <c r="Y261" s="4">
        <f t="shared" si="40"/>
        <v>1</v>
      </c>
      <c r="Z261" s="4">
        <f t="shared" si="41"/>
        <v>0</v>
      </c>
      <c r="AA261" s="4">
        <f t="shared" si="42"/>
        <v>0</v>
      </c>
      <c r="AB261" s="4">
        <f t="shared" si="43"/>
        <v>1</v>
      </c>
      <c r="AC261" s="4">
        <f>SUM(Table1_2[[#This Row],[bp score]],Table1_2[[#This Row],[bmi score]],Table1_2[[#This Row],[Csmoking score]],Table1_2[[#This Row],[Condition score]],Table1_2[[#This Row],[Cholesterol score]],)</f>
        <v>3</v>
      </c>
      <c r="AD261" s="4" t="str">
        <f t="shared" si="44"/>
        <v>Medium risk</v>
      </c>
    </row>
    <row r="262" spans="1:30" x14ac:dyDescent="0.35">
      <c r="A262" s="4" t="s">
        <v>765</v>
      </c>
      <c r="B262" s="4" t="s">
        <v>689</v>
      </c>
      <c r="C262">
        <v>57</v>
      </c>
      <c r="D262" s="4" t="s">
        <v>73</v>
      </c>
      <c r="E262" s="4" t="s">
        <v>33</v>
      </c>
      <c r="F262" s="4" t="s">
        <v>24</v>
      </c>
      <c r="G262">
        <v>34.4</v>
      </c>
      <c r="H262">
        <v>102</v>
      </c>
      <c r="I262">
        <v>84</v>
      </c>
      <c r="J262">
        <v>274</v>
      </c>
      <c r="K262">
        <v>81</v>
      </c>
      <c r="L262" s="4" t="s">
        <v>859</v>
      </c>
      <c r="M262">
        <v>2</v>
      </c>
      <c r="N262">
        <v>1</v>
      </c>
      <c r="O262" s="4" t="s">
        <v>25</v>
      </c>
      <c r="P262" s="5">
        <v>44915</v>
      </c>
      <c r="Q262">
        <v>8</v>
      </c>
      <c r="R262">
        <v>1</v>
      </c>
      <c r="S262" s="4" t="s">
        <v>92</v>
      </c>
      <c r="T262" s="4" t="s">
        <v>862</v>
      </c>
      <c r="U262" t="str">
        <f t="shared" si="36"/>
        <v>Obese</v>
      </c>
      <c r="V262" s="4" t="str">
        <f t="shared" si="37"/>
        <v>Aged</v>
      </c>
      <c r="W262" s="4" t="str">
        <f t="shared" si="38"/>
        <v>High Bp</v>
      </c>
      <c r="X262" s="4">
        <f t="shared" si="39"/>
        <v>1</v>
      </c>
      <c r="Y262" s="4">
        <f t="shared" si="40"/>
        <v>1</v>
      </c>
      <c r="Z262" s="4">
        <f t="shared" si="41"/>
        <v>1</v>
      </c>
      <c r="AA262" s="4">
        <f t="shared" si="42"/>
        <v>1</v>
      </c>
      <c r="AB262" s="4">
        <f t="shared" si="43"/>
        <v>1</v>
      </c>
      <c r="AC262" s="4">
        <f>SUM(Table1_2[[#This Row],[bp score]],Table1_2[[#This Row],[bmi score]],Table1_2[[#This Row],[Csmoking score]],Table1_2[[#This Row],[Condition score]],Table1_2[[#This Row],[Cholesterol score]],)</f>
        <v>5</v>
      </c>
      <c r="AD262" s="4" t="str">
        <f t="shared" si="44"/>
        <v>High risk</v>
      </c>
    </row>
    <row r="263" spans="1:30" x14ac:dyDescent="0.35">
      <c r="A263" s="4" t="s">
        <v>767</v>
      </c>
      <c r="B263" s="4" t="s">
        <v>338</v>
      </c>
      <c r="C263">
        <v>39</v>
      </c>
      <c r="D263" s="4" t="s">
        <v>73</v>
      </c>
      <c r="E263" s="4" t="s">
        <v>131</v>
      </c>
      <c r="F263" s="4" t="s">
        <v>117</v>
      </c>
      <c r="G263">
        <v>24.3</v>
      </c>
      <c r="H263">
        <v>149</v>
      </c>
      <c r="I263">
        <v>74</v>
      </c>
      <c r="J263">
        <v>237</v>
      </c>
      <c r="K263">
        <v>200</v>
      </c>
      <c r="L263" s="4" t="s">
        <v>860</v>
      </c>
      <c r="M263">
        <v>5</v>
      </c>
      <c r="N263">
        <v>8</v>
      </c>
      <c r="O263" s="4" t="s">
        <v>35</v>
      </c>
      <c r="P263" s="5">
        <v>44668</v>
      </c>
      <c r="Q263">
        <v>14</v>
      </c>
      <c r="R263">
        <v>17</v>
      </c>
      <c r="S263" s="4" t="s">
        <v>99</v>
      </c>
      <c r="T263" s="4" t="s">
        <v>862</v>
      </c>
      <c r="U263" t="str">
        <f t="shared" si="36"/>
        <v>Normal</v>
      </c>
      <c r="V263" s="4" t="str">
        <f t="shared" si="37"/>
        <v>Adult</v>
      </c>
      <c r="W263" s="4" t="str">
        <f t="shared" si="38"/>
        <v>High Bp</v>
      </c>
      <c r="X263" s="4">
        <f t="shared" si="39"/>
        <v>1</v>
      </c>
      <c r="Y263" s="4">
        <f t="shared" si="40"/>
        <v>0</v>
      </c>
      <c r="Z263" s="4">
        <f t="shared" si="41"/>
        <v>0</v>
      </c>
      <c r="AA263" s="4">
        <f t="shared" si="42"/>
        <v>1</v>
      </c>
      <c r="AB263" s="4">
        <f t="shared" si="43"/>
        <v>1</v>
      </c>
      <c r="AC263" s="4">
        <f>SUM(Table1_2[[#This Row],[bp score]],Table1_2[[#This Row],[bmi score]],Table1_2[[#This Row],[Csmoking score]],Table1_2[[#This Row],[Condition score]],Table1_2[[#This Row],[Cholesterol score]],)</f>
        <v>3</v>
      </c>
      <c r="AD263" s="4" t="str">
        <f t="shared" si="44"/>
        <v>Medium risk</v>
      </c>
    </row>
    <row r="264" spans="1:30" x14ac:dyDescent="0.35">
      <c r="A264" s="4" t="s">
        <v>769</v>
      </c>
      <c r="B264" s="4" t="s">
        <v>486</v>
      </c>
      <c r="C264">
        <v>41</v>
      </c>
      <c r="D264" s="4" t="s">
        <v>73</v>
      </c>
      <c r="E264" s="4" t="s">
        <v>161</v>
      </c>
      <c r="F264" s="4" t="s">
        <v>82</v>
      </c>
      <c r="G264">
        <v>35.6</v>
      </c>
      <c r="H264">
        <v>102</v>
      </c>
      <c r="I264">
        <v>82</v>
      </c>
      <c r="J264">
        <v>230</v>
      </c>
      <c r="K264">
        <v>160</v>
      </c>
      <c r="L264" s="4" t="s">
        <v>859</v>
      </c>
      <c r="M264">
        <v>3</v>
      </c>
      <c r="N264">
        <v>9</v>
      </c>
      <c r="O264" s="4" t="s">
        <v>25</v>
      </c>
      <c r="P264" s="5">
        <v>44509</v>
      </c>
      <c r="Q264">
        <v>12</v>
      </c>
      <c r="R264">
        <v>0</v>
      </c>
      <c r="S264" s="4" t="s">
        <v>38</v>
      </c>
      <c r="T264" s="4" t="s">
        <v>863</v>
      </c>
      <c r="U264" t="str">
        <f t="shared" si="36"/>
        <v>Obese</v>
      </c>
      <c r="V264" s="4" t="str">
        <f t="shared" si="37"/>
        <v>Elder</v>
      </c>
      <c r="W264" s="4" t="str">
        <f t="shared" si="38"/>
        <v>High Bp</v>
      </c>
      <c r="X264" s="4">
        <f t="shared" si="39"/>
        <v>1</v>
      </c>
      <c r="Y264" s="4">
        <f t="shared" si="40"/>
        <v>1</v>
      </c>
      <c r="Z264" s="4">
        <f t="shared" si="41"/>
        <v>1</v>
      </c>
      <c r="AA264" s="4">
        <f t="shared" si="42"/>
        <v>1</v>
      </c>
      <c r="AB264" s="4">
        <f t="shared" si="43"/>
        <v>1</v>
      </c>
      <c r="AC264" s="4">
        <f>SUM(Table1_2[[#This Row],[bp score]],Table1_2[[#This Row],[bmi score]],Table1_2[[#This Row],[Csmoking score]],Table1_2[[#This Row],[Condition score]],Table1_2[[#This Row],[Cholesterol score]],)</f>
        <v>5</v>
      </c>
      <c r="AD264" s="4" t="str">
        <f t="shared" si="44"/>
        <v>High risk</v>
      </c>
    </row>
    <row r="265" spans="1:30" x14ac:dyDescent="0.35">
      <c r="A265" s="4" t="s">
        <v>771</v>
      </c>
      <c r="B265" s="4" t="s">
        <v>504</v>
      </c>
      <c r="C265">
        <v>43</v>
      </c>
      <c r="D265" s="4" t="s">
        <v>32</v>
      </c>
      <c r="E265" s="4" t="s">
        <v>33</v>
      </c>
      <c r="F265" s="4" t="s">
        <v>82</v>
      </c>
      <c r="G265">
        <v>35.200000000000003</v>
      </c>
      <c r="H265">
        <v>166</v>
      </c>
      <c r="I265">
        <v>103</v>
      </c>
      <c r="J265">
        <v>198</v>
      </c>
      <c r="K265">
        <v>176</v>
      </c>
      <c r="L265" s="4" t="s">
        <v>861</v>
      </c>
      <c r="M265">
        <v>0</v>
      </c>
      <c r="N265">
        <v>3</v>
      </c>
      <c r="O265" s="4" t="s">
        <v>25</v>
      </c>
      <c r="P265" s="5">
        <v>45210</v>
      </c>
      <c r="Q265">
        <v>14</v>
      </c>
      <c r="R265">
        <v>17</v>
      </c>
      <c r="S265" s="4" t="s">
        <v>60</v>
      </c>
      <c r="T265" s="4" t="s">
        <v>862</v>
      </c>
      <c r="U265" t="str">
        <f t="shared" si="36"/>
        <v>Obese</v>
      </c>
      <c r="V265" s="4" t="str">
        <f t="shared" si="37"/>
        <v>Elder</v>
      </c>
      <c r="W265" s="4" t="str">
        <f t="shared" si="38"/>
        <v>High Bp</v>
      </c>
      <c r="X265" s="4">
        <f t="shared" si="39"/>
        <v>1</v>
      </c>
      <c r="Y265" s="4">
        <f t="shared" si="40"/>
        <v>1</v>
      </c>
      <c r="Z265" s="4">
        <f t="shared" si="41"/>
        <v>0</v>
      </c>
      <c r="AA265" s="4">
        <f t="shared" si="42"/>
        <v>1</v>
      </c>
      <c r="AB265" s="4">
        <f t="shared" si="43"/>
        <v>0</v>
      </c>
      <c r="AC265" s="4">
        <f>SUM(Table1_2[[#This Row],[bp score]],Table1_2[[#This Row],[bmi score]],Table1_2[[#This Row],[Csmoking score]],Table1_2[[#This Row],[Condition score]],Table1_2[[#This Row],[Cholesterol score]],)</f>
        <v>3</v>
      </c>
      <c r="AD265" s="4" t="str">
        <f t="shared" si="44"/>
        <v>Medium risk</v>
      </c>
    </row>
    <row r="266" spans="1:30" x14ac:dyDescent="0.35">
      <c r="A266" s="4" t="s">
        <v>773</v>
      </c>
      <c r="B266" s="4" t="s">
        <v>774</v>
      </c>
      <c r="C266">
        <v>56</v>
      </c>
      <c r="D266" s="4" t="s">
        <v>73</v>
      </c>
      <c r="E266" s="4" t="s">
        <v>33</v>
      </c>
      <c r="F266" s="4" t="s">
        <v>57</v>
      </c>
      <c r="G266">
        <v>34.200000000000003</v>
      </c>
      <c r="H266">
        <v>167</v>
      </c>
      <c r="I266">
        <v>68</v>
      </c>
      <c r="J266">
        <v>250</v>
      </c>
      <c r="K266">
        <v>107</v>
      </c>
      <c r="L266" s="4" t="s">
        <v>100</v>
      </c>
      <c r="M266">
        <v>2</v>
      </c>
      <c r="N266">
        <v>6</v>
      </c>
      <c r="O266" s="4" t="s">
        <v>35</v>
      </c>
      <c r="P266" s="5">
        <v>44266</v>
      </c>
      <c r="Q266">
        <v>4</v>
      </c>
      <c r="R266">
        <v>0</v>
      </c>
      <c r="S266" s="4" t="s">
        <v>78</v>
      </c>
      <c r="T266" s="4" t="s">
        <v>100</v>
      </c>
      <c r="U266" t="str">
        <f t="shared" si="36"/>
        <v>Obese</v>
      </c>
      <c r="V266" s="4" t="str">
        <f t="shared" si="37"/>
        <v>Aged</v>
      </c>
      <c r="W266" s="4" t="str">
        <f t="shared" si="38"/>
        <v>High Bp</v>
      </c>
      <c r="X266" s="4">
        <f t="shared" si="39"/>
        <v>1</v>
      </c>
      <c r="Y266" s="4">
        <f t="shared" si="40"/>
        <v>1</v>
      </c>
      <c r="Z266" s="4">
        <f t="shared" si="41"/>
        <v>0</v>
      </c>
      <c r="AA266" s="4">
        <f t="shared" si="42"/>
        <v>0</v>
      </c>
      <c r="AB266" s="4">
        <f t="shared" si="43"/>
        <v>1</v>
      </c>
      <c r="AC266" s="4">
        <f>SUM(Table1_2[[#This Row],[bp score]],Table1_2[[#This Row],[bmi score]],Table1_2[[#This Row],[Csmoking score]],Table1_2[[#This Row],[Condition score]],Table1_2[[#This Row],[Cholesterol score]],)</f>
        <v>3</v>
      </c>
      <c r="AD266" s="4" t="str">
        <f t="shared" si="44"/>
        <v>Medium risk</v>
      </c>
    </row>
    <row r="267" spans="1:30" x14ac:dyDescent="0.35">
      <c r="A267" s="4" t="s">
        <v>776</v>
      </c>
      <c r="B267" s="4" t="s">
        <v>777</v>
      </c>
      <c r="C267">
        <v>50</v>
      </c>
      <c r="D267" s="4" t="s">
        <v>32</v>
      </c>
      <c r="E267" s="4" t="s">
        <v>33</v>
      </c>
      <c r="F267" s="4" t="s">
        <v>52</v>
      </c>
      <c r="G267">
        <v>19.7</v>
      </c>
      <c r="H267">
        <v>123</v>
      </c>
      <c r="I267">
        <v>61</v>
      </c>
      <c r="J267">
        <v>208</v>
      </c>
      <c r="K267">
        <v>225</v>
      </c>
      <c r="L267" s="4" t="s">
        <v>100</v>
      </c>
      <c r="M267">
        <v>0</v>
      </c>
      <c r="N267">
        <v>4</v>
      </c>
      <c r="O267" s="4" t="s">
        <v>35</v>
      </c>
      <c r="P267" s="5">
        <v>44866</v>
      </c>
      <c r="Q267">
        <v>11</v>
      </c>
      <c r="R267">
        <v>2</v>
      </c>
      <c r="S267" s="4" t="s">
        <v>92</v>
      </c>
      <c r="T267" s="4" t="s">
        <v>864</v>
      </c>
      <c r="U267" t="str">
        <f t="shared" si="36"/>
        <v>Normal</v>
      </c>
      <c r="V267" s="4" t="str">
        <f t="shared" si="37"/>
        <v>Elder</v>
      </c>
      <c r="W267" s="4" t="str">
        <f t="shared" si="38"/>
        <v>Elevated</v>
      </c>
      <c r="X267" s="4">
        <f t="shared" si="39"/>
        <v>0</v>
      </c>
      <c r="Y267" s="4">
        <f t="shared" si="40"/>
        <v>0</v>
      </c>
      <c r="Z267" s="4">
        <f t="shared" si="41"/>
        <v>0</v>
      </c>
      <c r="AA267" s="4">
        <f t="shared" si="42"/>
        <v>1</v>
      </c>
      <c r="AB267" s="4">
        <f t="shared" si="43"/>
        <v>1</v>
      </c>
      <c r="AC267" s="4">
        <f>SUM(Table1_2[[#This Row],[bp score]],Table1_2[[#This Row],[bmi score]],Table1_2[[#This Row],[Csmoking score]],Table1_2[[#This Row],[Condition score]],Table1_2[[#This Row],[Cholesterol score]],)</f>
        <v>2</v>
      </c>
      <c r="AD267" s="4" t="str">
        <f t="shared" si="44"/>
        <v>Medium risk</v>
      </c>
    </row>
    <row r="268" spans="1:30" x14ac:dyDescent="0.35">
      <c r="A268" s="4" t="s">
        <v>779</v>
      </c>
      <c r="B268" s="4" t="s">
        <v>562</v>
      </c>
      <c r="C268">
        <v>52</v>
      </c>
      <c r="D268" s="4" t="s">
        <v>73</v>
      </c>
      <c r="E268" s="4" t="s">
        <v>33</v>
      </c>
      <c r="F268" s="4" t="s">
        <v>82</v>
      </c>
      <c r="G268">
        <v>29.3</v>
      </c>
      <c r="H268">
        <v>117</v>
      </c>
      <c r="I268">
        <v>70</v>
      </c>
      <c r="J268">
        <v>189</v>
      </c>
      <c r="K268">
        <v>127</v>
      </c>
      <c r="L268" s="4" t="s">
        <v>859</v>
      </c>
      <c r="M268">
        <v>6</v>
      </c>
      <c r="N268">
        <v>1</v>
      </c>
      <c r="O268" s="4" t="s">
        <v>25</v>
      </c>
      <c r="P268" s="5">
        <v>45406</v>
      </c>
      <c r="Q268">
        <v>6</v>
      </c>
      <c r="R268">
        <v>6</v>
      </c>
      <c r="S268" s="4" t="s">
        <v>92</v>
      </c>
      <c r="T268" s="4" t="s">
        <v>864</v>
      </c>
      <c r="U268" t="str">
        <f t="shared" si="36"/>
        <v>Overweight</v>
      </c>
      <c r="V268" s="4" t="str">
        <f t="shared" si="37"/>
        <v>Aged</v>
      </c>
      <c r="W268" s="4" t="str">
        <f t="shared" si="38"/>
        <v>Normal</v>
      </c>
      <c r="X268" s="4">
        <f t="shared" si="39"/>
        <v>0</v>
      </c>
      <c r="Y268" s="4">
        <f t="shared" si="40"/>
        <v>0</v>
      </c>
      <c r="Z268" s="4">
        <f t="shared" si="41"/>
        <v>1</v>
      </c>
      <c r="AA268" s="4">
        <f t="shared" si="42"/>
        <v>1</v>
      </c>
      <c r="AB268" s="4">
        <f t="shared" si="43"/>
        <v>0</v>
      </c>
      <c r="AC268" s="4">
        <f>SUM(Table1_2[[#This Row],[bp score]],Table1_2[[#This Row],[bmi score]],Table1_2[[#This Row],[Csmoking score]],Table1_2[[#This Row],[Condition score]],Table1_2[[#This Row],[Cholesterol score]],)</f>
        <v>2</v>
      </c>
      <c r="AD268" s="4" t="str">
        <f t="shared" si="44"/>
        <v>Medium risk</v>
      </c>
    </row>
    <row r="269" spans="1:30" x14ac:dyDescent="0.35">
      <c r="A269" s="4" t="s">
        <v>781</v>
      </c>
      <c r="B269" s="4" t="s">
        <v>782</v>
      </c>
      <c r="C269">
        <v>53</v>
      </c>
      <c r="D269" s="4" t="s">
        <v>73</v>
      </c>
      <c r="E269" s="4" t="s">
        <v>161</v>
      </c>
      <c r="F269" s="4" t="s">
        <v>52</v>
      </c>
      <c r="G269">
        <v>27.7</v>
      </c>
      <c r="H269">
        <v>105</v>
      </c>
      <c r="I269">
        <v>98</v>
      </c>
      <c r="J269">
        <v>237</v>
      </c>
      <c r="K269">
        <v>150</v>
      </c>
      <c r="L269" s="4" t="s">
        <v>860</v>
      </c>
      <c r="M269">
        <v>0</v>
      </c>
      <c r="N269">
        <v>10</v>
      </c>
      <c r="O269" s="4" t="s">
        <v>25</v>
      </c>
      <c r="P269" s="5">
        <v>44423</v>
      </c>
      <c r="Q269">
        <v>1</v>
      </c>
      <c r="R269">
        <v>7</v>
      </c>
      <c r="S269" s="4" t="s">
        <v>38</v>
      </c>
      <c r="T269" s="4" t="s">
        <v>100</v>
      </c>
      <c r="U269" t="str">
        <f t="shared" si="36"/>
        <v>Overweight</v>
      </c>
      <c r="V269" s="4" t="str">
        <f t="shared" si="37"/>
        <v>Aged</v>
      </c>
      <c r="W269" s="4" t="str">
        <f t="shared" si="38"/>
        <v>High Bp</v>
      </c>
      <c r="X269" s="4">
        <f t="shared" si="39"/>
        <v>1</v>
      </c>
      <c r="Y269" s="4">
        <f t="shared" si="40"/>
        <v>0</v>
      </c>
      <c r="Z269" s="4">
        <f t="shared" si="41"/>
        <v>0</v>
      </c>
      <c r="AA269" s="4">
        <f t="shared" si="42"/>
        <v>1</v>
      </c>
      <c r="AB269" s="4">
        <f t="shared" si="43"/>
        <v>1</v>
      </c>
      <c r="AC269" s="4">
        <f>SUM(Table1_2[[#This Row],[bp score]],Table1_2[[#This Row],[bmi score]],Table1_2[[#This Row],[Csmoking score]],Table1_2[[#This Row],[Condition score]],Table1_2[[#This Row],[Cholesterol score]],)</f>
        <v>3</v>
      </c>
      <c r="AD269" s="4" t="str">
        <f t="shared" si="44"/>
        <v>Medium risk</v>
      </c>
    </row>
    <row r="270" spans="1:30" x14ac:dyDescent="0.35">
      <c r="A270" s="4" t="s">
        <v>783</v>
      </c>
      <c r="B270" s="4" t="s">
        <v>784</v>
      </c>
      <c r="C270">
        <v>57</v>
      </c>
      <c r="D270" s="4" t="s">
        <v>32</v>
      </c>
      <c r="E270" s="4" t="s">
        <v>131</v>
      </c>
      <c r="F270" s="4" t="s">
        <v>117</v>
      </c>
      <c r="G270">
        <v>21.7</v>
      </c>
      <c r="H270">
        <v>156</v>
      </c>
      <c r="I270">
        <v>85</v>
      </c>
      <c r="J270">
        <v>217</v>
      </c>
      <c r="K270">
        <v>143</v>
      </c>
      <c r="L270" s="4" t="s">
        <v>859</v>
      </c>
      <c r="M270">
        <v>2</v>
      </c>
      <c r="N270">
        <v>7</v>
      </c>
      <c r="O270" s="4" t="s">
        <v>25</v>
      </c>
      <c r="P270" s="5">
        <v>44547</v>
      </c>
      <c r="Q270">
        <v>4</v>
      </c>
      <c r="R270">
        <v>14</v>
      </c>
      <c r="S270" s="4" t="s">
        <v>78</v>
      </c>
      <c r="T270" s="4" t="s">
        <v>100</v>
      </c>
      <c r="U270" t="str">
        <f t="shared" si="36"/>
        <v>Normal</v>
      </c>
      <c r="V270" s="4" t="str">
        <f t="shared" si="37"/>
        <v>Aged</v>
      </c>
      <c r="W270" s="4" t="str">
        <f t="shared" si="38"/>
        <v>High Bp</v>
      </c>
      <c r="X270" s="4">
        <f t="shared" si="39"/>
        <v>1</v>
      </c>
      <c r="Y270" s="4">
        <f t="shared" si="40"/>
        <v>0</v>
      </c>
      <c r="Z270" s="4">
        <f t="shared" si="41"/>
        <v>1</v>
      </c>
      <c r="AA270" s="4">
        <f t="shared" si="42"/>
        <v>0</v>
      </c>
      <c r="AB270" s="4">
        <f t="shared" si="43"/>
        <v>1</v>
      </c>
      <c r="AC270" s="4">
        <f>SUM(Table1_2[[#This Row],[bp score]],Table1_2[[#This Row],[bmi score]],Table1_2[[#This Row],[Csmoking score]],Table1_2[[#This Row],[Condition score]],Table1_2[[#This Row],[Cholesterol score]],)</f>
        <v>3</v>
      </c>
      <c r="AD270" s="4" t="str">
        <f t="shared" si="44"/>
        <v>Medium risk</v>
      </c>
    </row>
    <row r="271" spans="1:30" x14ac:dyDescent="0.35">
      <c r="A271" s="4" t="s">
        <v>786</v>
      </c>
      <c r="B271" s="4" t="s">
        <v>787</v>
      </c>
      <c r="C271">
        <v>29</v>
      </c>
      <c r="D271" s="4" t="s">
        <v>32</v>
      </c>
      <c r="E271" s="4" t="s">
        <v>33</v>
      </c>
      <c r="F271" s="4" t="s">
        <v>75</v>
      </c>
      <c r="G271">
        <v>20.399999999999999</v>
      </c>
      <c r="H271">
        <v>152</v>
      </c>
      <c r="I271">
        <v>80</v>
      </c>
      <c r="J271">
        <v>255</v>
      </c>
      <c r="K271">
        <v>76</v>
      </c>
      <c r="L271" s="4" t="s">
        <v>860</v>
      </c>
      <c r="M271">
        <v>7</v>
      </c>
      <c r="N271">
        <v>0</v>
      </c>
      <c r="O271" s="4" t="s">
        <v>35</v>
      </c>
      <c r="P271" s="5" t="s">
        <v>54</v>
      </c>
      <c r="Q271">
        <v>20</v>
      </c>
      <c r="R271">
        <v>5</v>
      </c>
      <c r="S271" s="4" t="s">
        <v>92</v>
      </c>
      <c r="T271" s="4" t="s">
        <v>863</v>
      </c>
      <c r="U271" t="str">
        <f t="shared" si="36"/>
        <v>Normal</v>
      </c>
      <c r="V271" s="4" t="str">
        <f t="shared" si="37"/>
        <v>Young adult</v>
      </c>
      <c r="W271" s="4" t="str">
        <f t="shared" si="38"/>
        <v>High Bp</v>
      </c>
      <c r="X271" s="4">
        <f t="shared" si="39"/>
        <v>1</v>
      </c>
      <c r="Y271" s="4">
        <f t="shared" si="40"/>
        <v>0</v>
      </c>
      <c r="Z271" s="4">
        <f t="shared" si="41"/>
        <v>0</v>
      </c>
      <c r="AA271" s="4">
        <f t="shared" si="42"/>
        <v>1</v>
      </c>
      <c r="AB271" s="4">
        <f t="shared" si="43"/>
        <v>1</v>
      </c>
      <c r="AC271" s="4">
        <f>SUM(Table1_2[[#This Row],[bp score]],Table1_2[[#This Row],[bmi score]],Table1_2[[#This Row],[Csmoking score]],Table1_2[[#This Row],[Condition score]],Table1_2[[#This Row],[Cholesterol score]],)</f>
        <v>3</v>
      </c>
      <c r="AD271" s="4" t="str">
        <f t="shared" si="44"/>
        <v>Medium risk</v>
      </c>
    </row>
    <row r="272" spans="1:30" x14ac:dyDescent="0.35">
      <c r="A272" s="4" t="s">
        <v>788</v>
      </c>
      <c r="B272" s="4" t="s">
        <v>789</v>
      </c>
      <c r="C272">
        <v>62</v>
      </c>
      <c r="D272" s="4" t="s">
        <v>73</v>
      </c>
      <c r="E272" s="4" t="s">
        <v>131</v>
      </c>
      <c r="F272" s="4" t="s">
        <v>75</v>
      </c>
      <c r="G272">
        <v>34.700000000000003</v>
      </c>
      <c r="H272">
        <v>165</v>
      </c>
      <c r="I272">
        <v>99</v>
      </c>
      <c r="J272">
        <v>180</v>
      </c>
      <c r="K272">
        <v>166</v>
      </c>
      <c r="L272" s="4" t="s">
        <v>860</v>
      </c>
      <c r="M272">
        <v>6</v>
      </c>
      <c r="N272">
        <v>1</v>
      </c>
      <c r="O272" s="4" t="s">
        <v>25</v>
      </c>
      <c r="P272" s="5">
        <v>45227</v>
      </c>
      <c r="Q272">
        <v>4</v>
      </c>
      <c r="R272">
        <v>5</v>
      </c>
      <c r="S272" s="4" t="s">
        <v>60</v>
      </c>
      <c r="T272" s="4" t="s">
        <v>864</v>
      </c>
      <c r="U272" t="str">
        <f t="shared" si="36"/>
        <v>Obese</v>
      </c>
      <c r="V272" s="4" t="str">
        <f t="shared" si="37"/>
        <v>Aged</v>
      </c>
      <c r="W272" s="4" t="str">
        <f t="shared" si="38"/>
        <v>High Bp</v>
      </c>
      <c r="X272" s="4">
        <f t="shared" si="39"/>
        <v>1</v>
      </c>
      <c r="Y272" s="4">
        <f t="shared" si="40"/>
        <v>1</v>
      </c>
      <c r="Z272" s="4">
        <f t="shared" si="41"/>
        <v>0</v>
      </c>
      <c r="AA272" s="4">
        <f t="shared" si="42"/>
        <v>1</v>
      </c>
      <c r="AB272" s="4">
        <f t="shared" si="43"/>
        <v>0</v>
      </c>
      <c r="AC272" s="4">
        <f>SUM(Table1_2[[#This Row],[bp score]],Table1_2[[#This Row],[bmi score]],Table1_2[[#This Row],[Csmoking score]],Table1_2[[#This Row],[Condition score]],Table1_2[[#This Row],[Cholesterol score]],)</f>
        <v>3</v>
      </c>
      <c r="AD272" s="4" t="str">
        <f t="shared" si="44"/>
        <v>Medium risk</v>
      </c>
    </row>
    <row r="273" spans="1:30" x14ac:dyDescent="0.35">
      <c r="A273" s="4" t="s">
        <v>790</v>
      </c>
      <c r="B273" s="4" t="s">
        <v>284</v>
      </c>
      <c r="C273">
        <v>41</v>
      </c>
      <c r="D273" s="4" t="s">
        <v>32</v>
      </c>
      <c r="E273" s="4" t="s">
        <v>161</v>
      </c>
      <c r="F273" s="4" t="s">
        <v>57</v>
      </c>
      <c r="G273">
        <v>32.700000000000003</v>
      </c>
      <c r="H273">
        <v>115</v>
      </c>
      <c r="I273">
        <v>68</v>
      </c>
      <c r="J273">
        <v>191</v>
      </c>
      <c r="K273">
        <v>70</v>
      </c>
      <c r="L273" s="4" t="s">
        <v>100</v>
      </c>
      <c r="M273">
        <v>4</v>
      </c>
      <c r="N273">
        <v>1</v>
      </c>
      <c r="O273" s="4" t="s">
        <v>35</v>
      </c>
      <c r="P273" s="5">
        <v>45522</v>
      </c>
      <c r="Q273">
        <v>0</v>
      </c>
      <c r="R273">
        <v>19</v>
      </c>
      <c r="S273" s="4" t="s">
        <v>92</v>
      </c>
      <c r="T273" s="4" t="s">
        <v>862</v>
      </c>
      <c r="U273" t="str">
        <f t="shared" si="36"/>
        <v>Obese</v>
      </c>
      <c r="V273" s="4" t="str">
        <f t="shared" si="37"/>
        <v>Elder</v>
      </c>
      <c r="W273" s="4" t="str">
        <f t="shared" si="38"/>
        <v>Normal</v>
      </c>
      <c r="X273" s="4">
        <f t="shared" si="39"/>
        <v>0</v>
      </c>
      <c r="Y273" s="4">
        <f t="shared" si="40"/>
        <v>1</v>
      </c>
      <c r="Z273" s="4">
        <f t="shared" si="41"/>
        <v>0</v>
      </c>
      <c r="AA273" s="4">
        <f t="shared" si="42"/>
        <v>1</v>
      </c>
      <c r="AB273" s="4">
        <f t="shared" si="43"/>
        <v>0</v>
      </c>
      <c r="AC273" s="4">
        <f>SUM(Table1_2[[#This Row],[bp score]],Table1_2[[#This Row],[bmi score]],Table1_2[[#This Row],[Csmoking score]],Table1_2[[#This Row],[Condition score]],Table1_2[[#This Row],[Cholesterol score]],)</f>
        <v>2</v>
      </c>
      <c r="AD273" s="4" t="str">
        <f t="shared" si="44"/>
        <v>Medium risk</v>
      </c>
    </row>
    <row r="274" spans="1:30" x14ac:dyDescent="0.35">
      <c r="A274" s="4" t="s">
        <v>792</v>
      </c>
      <c r="B274" s="4" t="s">
        <v>407</v>
      </c>
      <c r="C274">
        <v>52</v>
      </c>
      <c r="D274" s="4" t="s">
        <v>73</v>
      </c>
      <c r="E274" s="4" t="s">
        <v>65</v>
      </c>
      <c r="F274" s="4" t="s">
        <v>90</v>
      </c>
      <c r="G274">
        <v>19</v>
      </c>
      <c r="H274">
        <v>100</v>
      </c>
      <c r="I274">
        <v>75</v>
      </c>
      <c r="J274">
        <v>280</v>
      </c>
      <c r="K274">
        <v>141</v>
      </c>
      <c r="L274" s="4" t="s">
        <v>100</v>
      </c>
      <c r="M274">
        <v>7</v>
      </c>
      <c r="N274">
        <v>9</v>
      </c>
      <c r="O274" s="4" t="s">
        <v>35</v>
      </c>
      <c r="P274" s="5">
        <v>44260</v>
      </c>
      <c r="Q274">
        <v>1</v>
      </c>
      <c r="R274">
        <v>20</v>
      </c>
      <c r="S274" s="4" t="s">
        <v>78</v>
      </c>
      <c r="T274" s="4" t="s">
        <v>862</v>
      </c>
      <c r="U274" t="str">
        <f t="shared" si="36"/>
        <v>Normal</v>
      </c>
      <c r="V274" s="4" t="str">
        <f t="shared" si="37"/>
        <v>Aged</v>
      </c>
      <c r="W274" s="4" t="str">
        <f t="shared" si="38"/>
        <v>Normal</v>
      </c>
      <c r="X274" s="4">
        <f t="shared" si="39"/>
        <v>0</v>
      </c>
      <c r="Y274" s="4">
        <f t="shared" si="40"/>
        <v>0</v>
      </c>
      <c r="Z274" s="4">
        <f t="shared" si="41"/>
        <v>0</v>
      </c>
      <c r="AA274" s="4">
        <f t="shared" si="42"/>
        <v>0</v>
      </c>
      <c r="AB274" s="4">
        <f t="shared" si="43"/>
        <v>1</v>
      </c>
      <c r="AC274" s="4">
        <f>SUM(Table1_2[[#This Row],[bp score]],Table1_2[[#This Row],[bmi score]],Table1_2[[#This Row],[Csmoking score]],Table1_2[[#This Row],[Condition score]],Table1_2[[#This Row],[Cholesterol score]],)</f>
        <v>1</v>
      </c>
      <c r="AD274" s="4" t="str">
        <f t="shared" si="44"/>
        <v>Low risk</v>
      </c>
    </row>
    <row r="275" spans="1:30" x14ac:dyDescent="0.35">
      <c r="A275" s="4" t="s">
        <v>793</v>
      </c>
      <c r="B275" s="4" t="s">
        <v>794</v>
      </c>
      <c r="C275">
        <v>58</v>
      </c>
      <c r="D275" s="4" t="s">
        <v>32</v>
      </c>
      <c r="E275" s="4" t="s">
        <v>127</v>
      </c>
      <c r="F275" s="4" t="s">
        <v>82</v>
      </c>
      <c r="G275">
        <v>18.2</v>
      </c>
      <c r="H275">
        <v>153</v>
      </c>
      <c r="I275">
        <v>71</v>
      </c>
      <c r="J275">
        <v>181</v>
      </c>
      <c r="K275">
        <v>242</v>
      </c>
      <c r="L275" s="4" t="s">
        <v>859</v>
      </c>
      <c r="M275">
        <v>0</v>
      </c>
      <c r="N275">
        <v>10</v>
      </c>
      <c r="O275" s="4" t="s">
        <v>25</v>
      </c>
      <c r="P275" s="5">
        <v>45645</v>
      </c>
      <c r="Q275">
        <v>11</v>
      </c>
      <c r="R275">
        <v>1</v>
      </c>
      <c r="S275" s="4" t="s">
        <v>92</v>
      </c>
      <c r="T275" s="4" t="s">
        <v>863</v>
      </c>
      <c r="U275" t="str">
        <f t="shared" si="36"/>
        <v>Underweight</v>
      </c>
      <c r="V275" s="4" t="str">
        <f t="shared" si="37"/>
        <v>Aged</v>
      </c>
      <c r="W275" s="4" t="str">
        <f t="shared" si="38"/>
        <v>High Bp</v>
      </c>
      <c r="X275" s="4">
        <f t="shared" si="39"/>
        <v>1</v>
      </c>
      <c r="Y275" s="4">
        <f t="shared" si="40"/>
        <v>0</v>
      </c>
      <c r="Z275" s="4">
        <f t="shared" si="41"/>
        <v>1</v>
      </c>
      <c r="AA275" s="4">
        <f t="shared" si="42"/>
        <v>1</v>
      </c>
      <c r="AB275" s="4">
        <f t="shared" si="43"/>
        <v>0</v>
      </c>
      <c r="AC275" s="4">
        <f>SUM(Table1_2[[#This Row],[bp score]],Table1_2[[#This Row],[bmi score]],Table1_2[[#This Row],[Csmoking score]],Table1_2[[#This Row],[Condition score]],Table1_2[[#This Row],[Cholesterol score]],)</f>
        <v>3</v>
      </c>
      <c r="AD275" s="4" t="str">
        <f t="shared" si="44"/>
        <v>Medium risk</v>
      </c>
    </row>
    <row r="276" spans="1:30" x14ac:dyDescent="0.35">
      <c r="A276" s="4" t="s">
        <v>796</v>
      </c>
      <c r="B276" s="4" t="s">
        <v>643</v>
      </c>
      <c r="C276">
        <v>46</v>
      </c>
      <c r="D276" s="4" t="s">
        <v>73</v>
      </c>
      <c r="E276" s="4" t="s">
        <v>65</v>
      </c>
      <c r="F276" s="4" t="s">
        <v>75</v>
      </c>
      <c r="G276">
        <v>18.600000000000001</v>
      </c>
      <c r="H276">
        <v>160</v>
      </c>
      <c r="I276">
        <v>68</v>
      </c>
      <c r="J276">
        <v>213</v>
      </c>
      <c r="K276">
        <v>247</v>
      </c>
      <c r="L276" s="4" t="s">
        <v>859</v>
      </c>
      <c r="M276">
        <v>5</v>
      </c>
      <c r="N276">
        <v>9</v>
      </c>
      <c r="O276" s="4" t="s">
        <v>25</v>
      </c>
      <c r="P276" s="5">
        <v>44902</v>
      </c>
      <c r="Q276">
        <v>19</v>
      </c>
      <c r="R276">
        <v>1</v>
      </c>
      <c r="S276" s="4" t="s">
        <v>92</v>
      </c>
      <c r="T276" s="4" t="s">
        <v>100</v>
      </c>
      <c r="U276" t="str">
        <f t="shared" si="36"/>
        <v>Normal</v>
      </c>
      <c r="V276" s="4" t="str">
        <f t="shared" si="37"/>
        <v>Elder</v>
      </c>
      <c r="W276" s="4" t="str">
        <f t="shared" si="38"/>
        <v>High Bp</v>
      </c>
      <c r="X276" s="4">
        <f t="shared" si="39"/>
        <v>1</v>
      </c>
      <c r="Y276" s="4">
        <f t="shared" si="40"/>
        <v>0</v>
      </c>
      <c r="Z276" s="4">
        <f t="shared" si="41"/>
        <v>1</v>
      </c>
      <c r="AA276" s="4">
        <f t="shared" si="42"/>
        <v>1</v>
      </c>
      <c r="AB276" s="4">
        <f t="shared" si="43"/>
        <v>1</v>
      </c>
      <c r="AC276" s="4">
        <f>SUM(Table1_2[[#This Row],[bp score]],Table1_2[[#This Row],[bmi score]],Table1_2[[#This Row],[Csmoking score]],Table1_2[[#This Row],[Condition score]],Table1_2[[#This Row],[Cholesterol score]],)</f>
        <v>4</v>
      </c>
      <c r="AD276" s="4" t="str">
        <f t="shared" si="44"/>
        <v>High risk</v>
      </c>
    </row>
    <row r="277" spans="1:30" x14ac:dyDescent="0.35">
      <c r="A277" s="4" t="s">
        <v>798</v>
      </c>
      <c r="B277" s="4" t="s">
        <v>799</v>
      </c>
      <c r="C277">
        <v>60</v>
      </c>
      <c r="D277" s="4" t="s">
        <v>32</v>
      </c>
      <c r="E277" s="4" t="s">
        <v>65</v>
      </c>
      <c r="F277" s="4" t="s">
        <v>66</v>
      </c>
      <c r="G277">
        <v>38.200000000000003</v>
      </c>
      <c r="H277">
        <v>133</v>
      </c>
      <c r="I277">
        <v>93</v>
      </c>
      <c r="J277">
        <v>230</v>
      </c>
      <c r="K277">
        <v>103</v>
      </c>
      <c r="L277" s="4" t="s">
        <v>100</v>
      </c>
      <c r="M277">
        <v>0</v>
      </c>
      <c r="N277">
        <v>8</v>
      </c>
      <c r="O277" s="4" t="s">
        <v>35</v>
      </c>
      <c r="P277" s="5">
        <v>45371</v>
      </c>
      <c r="Q277">
        <v>7</v>
      </c>
      <c r="R277">
        <v>9</v>
      </c>
      <c r="S277" s="4" t="s">
        <v>78</v>
      </c>
      <c r="T277" s="4" t="s">
        <v>862</v>
      </c>
      <c r="U277" t="str">
        <f t="shared" si="36"/>
        <v>Obese</v>
      </c>
      <c r="V277" s="4" t="str">
        <f t="shared" si="37"/>
        <v>Aged</v>
      </c>
      <c r="W277" s="4" t="str">
        <f t="shared" si="38"/>
        <v>High Bp</v>
      </c>
      <c r="X277" s="4">
        <f t="shared" si="39"/>
        <v>1</v>
      </c>
      <c r="Y277" s="4">
        <f t="shared" si="40"/>
        <v>1</v>
      </c>
      <c r="Z277" s="4">
        <f t="shared" si="41"/>
        <v>0</v>
      </c>
      <c r="AA277" s="4">
        <f t="shared" si="42"/>
        <v>0</v>
      </c>
      <c r="AB277" s="4">
        <f t="shared" si="43"/>
        <v>1</v>
      </c>
      <c r="AC277" s="4">
        <f>SUM(Table1_2[[#This Row],[bp score]],Table1_2[[#This Row],[bmi score]],Table1_2[[#This Row],[Csmoking score]],Table1_2[[#This Row],[Condition score]],Table1_2[[#This Row],[Cholesterol score]],)</f>
        <v>3</v>
      </c>
      <c r="AD277" s="4" t="str">
        <f t="shared" si="44"/>
        <v>Medium risk</v>
      </c>
    </row>
    <row r="278" spans="1:30" x14ac:dyDescent="0.35">
      <c r="A278" s="4" t="s">
        <v>801</v>
      </c>
      <c r="B278" s="4" t="s">
        <v>21</v>
      </c>
      <c r="C278">
        <v>51</v>
      </c>
      <c r="D278" s="4" t="s">
        <v>73</v>
      </c>
      <c r="E278" s="4" t="s">
        <v>23</v>
      </c>
      <c r="F278" s="4" t="s">
        <v>66</v>
      </c>
      <c r="G278">
        <v>42</v>
      </c>
      <c r="H278">
        <v>152</v>
      </c>
      <c r="I278">
        <v>62</v>
      </c>
      <c r="J278">
        <v>225</v>
      </c>
      <c r="K278">
        <v>159</v>
      </c>
      <c r="L278" s="4" t="s">
        <v>860</v>
      </c>
      <c r="M278">
        <v>7</v>
      </c>
      <c r="N278">
        <v>4</v>
      </c>
      <c r="O278" s="4" t="s">
        <v>25</v>
      </c>
      <c r="P278" s="5">
        <v>44905</v>
      </c>
      <c r="Q278">
        <v>8</v>
      </c>
      <c r="R278">
        <v>2</v>
      </c>
      <c r="S278" s="4" t="s">
        <v>78</v>
      </c>
      <c r="T278" s="4" t="s">
        <v>863</v>
      </c>
      <c r="U278" t="str">
        <f t="shared" si="36"/>
        <v>Obese</v>
      </c>
      <c r="V278" s="4" t="str">
        <f t="shared" si="37"/>
        <v>Aged</v>
      </c>
      <c r="W278" s="4" t="str">
        <f t="shared" si="38"/>
        <v>High Bp</v>
      </c>
      <c r="X278" s="4">
        <f t="shared" si="39"/>
        <v>1</v>
      </c>
      <c r="Y278" s="4">
        <f t="shared" si="40"/>
        <v>1</v>
      </c>
      <c r="Z278" s="4">
        <f t="shared" si="41"/>
        <v>0</v>
      </c>
      <c r="AA278" s="4">
        <f t="shared" si="42"/>
        <v>0</v>
      </c>
      <c r="AB278" s="4">
        <f t="shared" si="43"/>
        <v>1</v>
      </c>
      <c r="AC278" s="4">
        <f>SUM(Table1_2[[#This Row],[bp score]],Table1_2[[#This Row],[bmi score]],Table1_2[[#This Row],[Csmoking score]],Table1_2[[#This Row],[Condition score]],Table1_2[[#This Row],[Cholesterol score]],)</f>
        <v>3</v>
      </c>
      <c r="AD278" s="4" t="str">
        <f t="shared" si="44"/>
        <v>Medium risk</v>
      </c>
    </row>
    <row r="279" spans="1:30" x14ac:dyDescent="0.35">
      <c r="A279" s="4" t="s">
        <v>803</v>
      </c>
      <c r="B279" s="4" t="s">
        <v>298</v>
      </c>
      <c r="C279">
        <v>42</v>
      </c>
      <c r="D279" s="4" t="s">
        <v>32</v>
      </c>
      <c r="E279" s="4" t="s">
        <v>131</v>
      </c>
      <c r="F279" s="4" t="s">
        <v>117</v>
      </c>
      <c r="G279">
        <v>25.5</v>
      </c>
      <c r="H279">
        <v>103</v>
      </c>
      <c r="I279">
        <v>71</v>
      </c>
      <c r="J279">
        <v>189</v>
      </c>
      <c r="K279">
        <v>154</v>
      </c>
      <c r="L279" s="4" t="s">
        <v>860</v>
      </c>
      <c r="M279">
        <v>7</v>
      </c>
      <c r="N279">
        <v>8</v>
      </c>
      <c r="O279" s="4" t="s">
        <v>35</v>
      </c>
      <c r="P279" s="5">
        <v>44505</v>
      </c>
      <c r="Q279">
        <v>15</v>
      </c>
      <c r="R279">
        <v>4</v>
      </c>
      <c r="S279" s="4" t="s">
        <v>78</v>
      </c>
      <c r="T279" s="4" t="s">
        <v>100</v>
      </c>
      <c r="U279" t="str">
        <f t="shared" si="36"/>
        <v>Overweight</v>
      </c>
      <c r="V279" s="4" t="str">
        <f t="shared" si="37"/>
        <v>Elder</v>
      </c>
      <c r="W279" s="4" t="str">
        <f t="shared" si="38"/>
        <v>Normal</v>
      </c>
      <c r="X279" s="4">
        <f t="shared" si="39"/>
        <v>0</v>
      </c>
      <c r="Y279" s="4">
        <f t="shared" si="40"/>
        <v>0</v>
      </c>
      <c r="Z279" s="4">
        <f t="shared" si="41"/>
        <v>0</v>
      </c>
      <c r="AA279" s="4">
        <f t="shared" si="42"/>
        <v>0</v>
      </c>
      <c r="AB279" s="4">
        <f t="shared" si="43"/>
        <v>0</v>
      </c>
      <c r="AC279" s="4">
        <f>SUM(Table1_2[[#This Row],[bp score]],Table1_2[[#This Row],[bmi score]],Table1_2[[#This Row],[Csmoking score]],Table1_2[[#This Row],[Condition score]],Table1_2[[#This Row],[Cholesterol score]],)</f>
        <v>0</v>
      </c>
      <c r="AD279" s="4" t="str">
        <f t="shared" si="44"/>
        <v>Low risk</v>
      </c>
    </row>
    <row r="280" spans="1:30" x14ac:dyDescent="0.35">
      <c r="A280" s="4" t="s">
        <v>805</v>
      </c>
      <c r="B280" s="4" t="s">
        <v>301</v>
      </c>
      <c r="C280">
        <v>51</v>
      </c>
      <c r="D280" s="4" t="s">
        <v>32</v>
      </c>
      <c r="E280" s="4" t="s">
        <v>161</v>
      </c>
      <c r="F280" s="4" t="s">
        <v>75</v>
      </c>
      <c r="G280">
        <v>24.5</v>
      </c>
      <c r="H280">
        <v>140</v>
      </c>
      <c r="I280">
        <v>95</v>
      </c>
      <c r="J280">
        <v>277</v>
      </c>
      <c r="K280">
        <v>74</v>
      </c>
      <c r="L280" s="4" t="s">
        <v>861</v>
      </c>
      <c r="M280">
        <v>0</v>
      </c>
      <c r="N280">
        <v>6</v>
      </c>
      <c r="O280" s="4" t="s">
        <v>35</v>
      </c>
      <c r="P280" s="5">
        <v>44264</v>
      </c>
      <c r="Q280">
        <v>0</v>
      </c>
      <c r="R280">
        <v>10</v>
      </c>
      <c r="S280" s="4" t="s">
        <v>99</v>
      </c>
      <c r="T280" s="4" t="s">
        <v>100</v>
      </c>
      <c r="U280" t="str">
        <f t="shared" si="36"/>
        <v>Normal</v>
      </c>
      <c r="V280" s="4" t="str">
        <f t="shared" si="37"/>
        <v>Aged</v>
      </c>
      <c r="W280" s="4" t="str">
        <f t="shared" si="38"/>
        <v>High Bp</v>
      </c>
      <c r="X280" s="4">
        <f t="shared" si="39"/>
        <v>1</v>
      </c>
      <c r="Y280" s="4">
        <f t="shared" si="40"/>
        <v>0</v>
      </c>
      <c r="Z280" s="4">
        <f t="shared" si="41"/>
        <v>0</v>
      </c>
      <c r="AA280" s="4">
        <f t="shared" si="42"/>
        <v>1</v>
      </c>
      <c r="AB280" s="4">
        <f t="shared" si="43"/>
        <v>1</v>
      </c>
      <c r="AC280" s="4">
        <f>SUM(Table1_2[[#This Row],[bp score]],Table1_2[[#This Row],[bmi score]],Table1_2[[#This Row],[Csmoking score]],Table1_2[[#This Row],[Condition score]],Table1_2[[#This Row],[Cholesterol score]],)</f>
        <v>3</v>
      </c>
      <c r="AD280" s="4" t="str">
        <f t="shared" si="44"/>
        <v>Medium risk</v>
      </c>
    </row>
    <row r="281" spans="1:30" x14ac:dyDescent="0.35">
      <c r="A281" s="4" t="s">
        <v>806</v>
      </c>
      <c r="B281" s="4" t="s">
        <v>807</v>
      </c>
      <c r="C281">
        <v>60</v>
      </c>
      <c r="D281" s="4" t="s">
        <v>32</v>
      </c>
      <c r="E281" s="4" t="s">
        <v>33</v>
      </c>
      <c r="F281" s="4" t="s">
        <v>66</v>
      </c>
      <c r="G281">
        <v>19.899999999999999</v>
      </c>
      <c r="H281">
        <v>134</v>
      </c>
      <c r="I281">
        <v>105</v>
      </c>
      <c r="J281">
        <v>220</v>
      </c>
      <c r="K281">
        <v>78</v>
      </c>
      <c r="L281" s="4" t="s">
        <v>859</v>
      </c>
      <c r="M281">
        <v>6</v>
      </c>
      <c r="N281">
        <v>2</v>
      </c>
      <c r="O281" s="4" t="s">
        <v>35</v>
      </c>
      <c r="P281" s="5">
        <v>44727</v>
      </c>
      <c r="Q281">
        <v>9</v>
      </c>
      <c r="R281">
        <v>6</v>
      </c>
      <c r="S281" s="4" t="s">
        <v>38</v>
      </c>
      <c r="T281" s="4" t="s">
        <v>863</v>
      </c>
      <c r="U281" t="str">
        <f t="shared" si="36"/>
        <v>Normal</v>
      </c>
      <c r="V281" s="4" t="str">
        <f t="shared" si="37"/>
        <v>Aged</v>
      </c>
      <c r="W281" s="4" t="str">
        <f t="shared" si="38"/>
        <v>High Bp</v>
      </c>
      <c r="X281" s="4">
        <f t="shared" si="39"/>
        <v>1</v>
      </c>
      <c r="Y281" s="4">
        <f t="shared" si="40"/>
        <v>0</v>
      </c>
      <c r="Z281" s="4">
        <f t="shared" si="41"/>
        <v>1</v>
      </c>
      <c r="AA281" s="4">
        <f t="shared" si="42"/>
        <v>1</v>
      </c>
      <c r="AB281" s="4">
        <f t="shared" si="43"/>
        <v>1</v>
      </c>
      <c r="AC281" s="4">
        <f>SUM(Table1_2[[#This Row],[bp score]],Table1_2[[#This Row],[bmi score]],Table1_2[[#This Row],[Csmoking score]],Table1_2[[#This Row],[Condition score]],Table1_2[[#This Row],[Cholesterol score]],)</f>
        <v>4</v>
      </c>
      <c r="AD281" s="4" t="str">
        <f t="shared" si="44"/>
        <v>High risk</v>
      </c>
    </row>
    <row r="282" spans="1:30" x14ac:dyDescent="0.35">
      <c r="A282" s="4" t="s">
        <v>809</v>
      </c>
      <c r="B282" s="4" t="s">
        <v>237</v>
      </c>
      <c r="C282">
        <v>45</v>
      </c>
      <c r="D282" s="4" t="s">
        <v>32</v>
      </c>
      <c r="E282" s="4" t="s">
        <v>23</v>
      </c>
      <c r="F282" s="4" t="s">
        <v>82</v>
      </c>
      <c r="G282">
        <v>28.1</v>
      </c>
      <c r="H282">
        <v>103</v>
      </c>
      <c r="I282">
        <v>90</v>
      </c>
      <c r="J282">
        <v>268</v>
      </c>
      <c r="K282">
        <v>109</v>
      </c>
      <c r="L282" s="4" t="s">
        <v>861</v>
      </c>
      <c r="M282">
        <v>5</v>
      </c>
      <c r="N282">
        <v>8</v>
      </c>
      <c r="O282" s="4" t="s">
        <v>25</v>
      </c>
      <c r="P282" s="5">
        <v>45010</v>
      </c>
      <c r="Q282">
        <v>3</v>
      </c>
      <c r="R282">
        <v>16</v>
      </c>
      <c r="S282" s="4" t="s">
        <v>78</v>
      </c>
      <c r="T282" s="4" t="s">
        <v>864</v>
      </c>
      <c r="U282" t="str">
        <f t="shared" si="36"/>
        <v>Overweight</v>
      </c>
      <c r="V282" s="4" t="str">
        <f t="shared" si="37"/>
        <v>Elder</v>
      </c>
      <c r="W282" s="4" t="str">
        <f t="shared" si="38"/>
        <v>High Bp</v>
      </c>
      <c r="X282" s="4">
        <f t="shared" si="39"/>
        <v>1</v>
      </c>
      <c r="Y282" s="4">
        <f t="shared" si="40"/>
        <v>0</v>
      </c>
      <c r="Z282" s="4">
        <f t="shared" si="41"/>
        <v>0</v>
      </c>
      <c r="AA282" s="4">
        <f t="shared" si="42"/>
        <v>0</v>
      </c>
      <c r="AB282" s="4">
        <f t="shared" si="43"/>
        <v>1</v>
      </c>
      <c r="AC282" s="4">
        <f>SUM(Table1_2[[#This Row],[bp score]],Table1_2[[#This Row],[bmi score]],Table1_2[[#This Row],[Csmoking score]],Table1_2[[#This Row],[Condition score]],Table1_2[[#This Row],[Cholesterol score]],)</f>
        <v>2</v>
      </c>
      <c r="AD282" s="4" t="str">
        <f t="shared" si="44"/>
        <v>Medium risk</v>
      </c>
    </row>
    <row r="283" spans="1:30" x14ac:dyDescent="0.35">
      <c r="A283" s="4" t="s">
        <v>811</v>
      </c>
      <c r="B283" s="4" t="s">
        <v>812</v>
      </c>
      <c r="C283">
        <v>51</v>
      </c>
      <c r="D283" s="4" t="s">
        <v>32</v>
      </c>
      <c r="E283" s="4" t="s">
        <v>131</v>
      </c>
      <c r="F283" s="4" t="s">
        <v>82</v>
      </c>
      <c r="G283">
        <v>17.100000000000001</v>
      </c>
      <c r="H283">
        <v>105</v>
      </c>
      <c r="I283">
        <v>103</v>
      </c>
      <c r="J283">
        <v>162</v>
      </c>
      <c r="K283">
        <v>155</v>
      </c>
      <c r="L283" s="4" t="s">
        <v>859</v>
      </c>
      <c r="M283">
        <v>0</v>
      </c>
      <c r="N283">
        <v>2</v>
      </c>
      <c r="O283" s="4" t="s">
        <v>25</v>
      </c>
      <c r="P283" s="5">
        <v>44494</v>
      </c>
      <c r="Q283">
        <v>9</v>
      </c>
      <c r="R283">
        <v>20</v>
      </c>
      <c r="S283" s="4" t="s">
        <v>78</v>
      </c>
      <c r="T283" s="4" t="s">
        <v>864</v>
      </c>
      <c r="U283" t="str">
        <f t="shared" si="36"/>
        <v>Underweight</v>
      </c>
      <c r="V283" s="4" t="str">
        <f t="shared" si="37"/>
        <v>Aged</v>
      </c>
      <c r="W283" s="4" t="str">
        <f t="shared" si="38"/>
        <v>High Bp</v>
      </c>
      <c r="X283" s="4">
        <f t="shared" si="39"/>
        <v>1</v>
      </c>
      <c r="Y283" s="4">
        <f t="shared" si="40"/>
        <v>0</v>
      </c>
      <c r="Z283" s="4">
        <f t="shared" si="41"/>
        <v>1</v>
      </c>
      <c r="AA283" s="4">
        <f t="shared" si="42"/>
        <v>0</v>
      </c>
      <c r="AB283" s="4">
        <f t="shared" si="43"/>
        <v>0</v>
      </c>
      <c r="AC283" s="4">
        <f>SUM(Table1_2[[#This Row],[bp score]],Table1_2[[#This Row],[bmi score]],Table1_2[[#This Row],[Csmoking score]],Table1_2[[#This Row],[Condition score]],Table1_2[[#This Row],[Cholesterol score]],)</f>
        <v>2</v>
      </c>
      <c r="AD283" s="4" t="str">
        <f t="shared" si="44"/>
        <v>Medium risk</v>
      </c>
    </row>
    <row r="284" spans="1:30" x14ac:dyDescent="0.35">
      <c r="A284" s="4" t="s">
        <v>814</v>
      </c>
      <c r="B284" s="4" t="s">
        <v>815</v>
      </c>
      <c r="C284">
        <v>40</v>
      </c>
      <c r="D284" s="4" t="s">
        <v>32</v>
      </c>
      <c r="E284" s="4" t="s">
        <v>131</v>
      </c>
      <c r="F284" s="4" t="s">
        <v>117</v>
      </c>
      <c r="G284">
        <v>36.299999999999997</v>
      </c>
      <c r="H284">
        <v>115</v>
      </c>
      <c r="I284">
        <v>77</v>
      </c>
      <c r="J284">
        <v>178</v>
      </c>
      <c r="K284">
        <v>110</v>
      </c>
      <c r="L284" s="4" t="s">
        <v>859</v>
      </c>
      <c r="M284">
        <v>1</v>
      </c>
      <c r="N284">
        <v>1</v>
      </c>
      <c r="O284" s="4" t="s">
        <v>35</v>
      </c>
      <c r="P284" s="5">
        <v>44816</v>
      </c>
      <c r="Q284">
        <v>17</v>
      </c>
      <c r="R284">
        <v>10</v>
      </c>
      <c r="S284" s="4" t="s">
        <v>78</v>
      </c>
      <c r="T284" s="4" t="s">
        <v>864</v>
      </c>
      <c r="U284" t="str">
        <f t="shared" si="36"/>
        <v>Obese</v>
      </c>
      <c r="V284" s="4" t="str">
        <f t="shared" si="37"/>
        <v>Adult</v>
      </c>
      <c r="W284" s="4" t="str">
        <f t="shared" si="38"/>
        <v>Normal</v>
      </c>
      <c r="X284" s="4">
        <f t="shared" si="39"/>
        <v>0</v>
      </c>
      <c r="Y284" s="4">
        <f t="shared" si="40"/>
        <v>1</v>
      </c>
      <c r="Z284" s="4">
        <f t="shared" si="41"/>
        <v>1</v>
      </c>
      <c r="AA284" s="4">
        <f t="shared" si="42"/>
        <v>0</v>
      </c>
      <c r="AB284" s="4">
        <f t="shared" si="43"/>
        <v>0</v>
      </c>
      <c r="AC284" s="4">
        <f>SUM(Table1_2[[#This Row],[bp score]],Table1_2[[#This Row],[bmi score]],Table1_2[[#This Row],[Csmoking score]],Table1_2[[#This Row],[Condition score]],Table1_2[[#This Row],[Cholesterol score]],)</f>
        <v>2</v>
      </c>
      <c r="AD284" s="4" t="str">
        <f t="shared" si="44"/>
        <v>Medium risk</v>
      </c>
    </row>
    <row r="285" spans="1:30" x14ac:dyDescent="0.35">
      <c r="A285" s="4" t="s">
        <v>817</v>
      </c>
      <c r="B285" s="4" t="s">
        <v>818</v>
      </c>
      <c r="C285">
        <v>37</v>
      </c>
      <c r="D285" s="4" t="s">
        <v>32</v>
      </c>
      <c r="E285" s="4" t="s">
        <v>131</v>
      </c>
      <c r="F285" s="4" t="s">
        <v>57</v>
      </c>
      <c r="G285">
        <v>32.299999999999997</v>
      </c>
      <c r="H285">
        <v>143</v>
      </c>
      <c r="I285">
        <v>94</v>
      </c>
      <c r="J285">
        <v>253</v>
      </c>
      <c r="K285">
        <v>82</v>
      </c>
      <c r="L285" s="4" t="s">
        <v>860</v>
      </c>
      <c r="M285">
        <v>0</v>
      </c>
      <c r="N285">
        <v>8</v>
      </c>
      <c r="O285" s="4" t="s">
        <v>25</v>
      </c>
      <c r="P285" s="5">
        <v>44379</v>
      </c>
      <c r="Q285">
        <v>2</v>
      </c>
      <c r="R285">
        <v>13</v>
      </c>
      <c r="S285" s="4" t="s">
        <v>99</v>
      </c>
      <c r="T285" s="4" t="s">
        <v>864</v>
      </c>
      <c r="U285" t="str">
        <f t="shared" si="36"/>
        <v>Obese</v>
      </c>
      <c r="V285" s="4" t="str">
        <f t="shared" si="37"/>
        <v>Adult</v>
      </c>
      <c r="W285" s="4" t="str">
        <f t="shared" si="38"/>
        <v>High Bp</v>
      </c>
      <c r="X285" s="4">
        <f t="shared" si="39"/>
        <v>1</v>
      </c>
      <c r="Y285" s="4">
        <f t="shared" si="40"/>
        <v>1</v>
      </c>
      <c r="Z285" s="4">
        <f t="shared" si="41"/>
        <v>0</v>
      </c>
      <c r="AA285" s="4">
        <f t="shared" si="42"/>
        <v>1</v>
      </c>
      <c r="AB285" s="4">
        <f t="shared" si="43"/>
        <v>1</v>
      </c>
      <c r="AC285" s="4">
        <f>SUM(Table1_2[[#This Row],[bp score]],Table1_2[[#This Row],[bmi score]],Table1_2[[#This Row],[Csmoking score]],Table1_2[[#This Row],[Condition score]],Table1_2[[#This Row],[Cholesterol score]],)</f>
        <v>4</v>
      </c>
      <c r="AD285" s="4" t="str">
        <f t="shared" si="44"/>
        <v>High risk</v>
      </c>
    </row>
    <row r="286" spans="1:30" x14ac:dyDescent="0.35">
      <c r="A286" s="4" t="s">
        <v>820</v>
      </c>
      <c r="B286" s="4" t="s">
        <v>821</v>
      </c>
      <c r="C286">
        <v>62</v>
      </c>
      <c r="D286" s="4" t="s">
        <v>73</v>
      </c>
      <c r="E286" s="4" t="s">
        <v>33</v>
      </c>
      <c r="F286" s="4" t="s">
        <v>117</v>
      </c>
      <c r="G286">
        <v>24.8</v>
      </c>
      <c r="H286">
        <v>125</v>
      </c>
      <c r="I286">
        <v>105</v>
      </c>
      <c r="J286">
        <v>276</v>
      </c>
      <c r="K286">
        <v>90</v>
      </c>
      <c r="L286" s="4" t="s">
        <v>859</v>
      </c>
      <c r="M286">
        <v>0</v>
      </c>
      <c r="N286">
        <v>3</v>
      </c>
      <c r="O286" s="4" t="s">
        <v>35</v>
      </c>
      <c r="P286" s="5">
        <v>45337</v>
      </c>
      <c r="Q286">
        <v>9</v>
      </c>
      <c r="R286">
        <v>20</v>
      </c>
      <c r="S286" s="4" t="s">
        <v>92</v>
      </c>
      <c r="T286" s="4" t="s">
        <v>100</v>
      </c>
      <c r="U286" t="str">
        <f t="shared" si="36"/>
        <v>Normal</v>
      </c>
      <c r="V286" s="4" t="str">
        <f t="shared" si="37"/>
        <v>Aged</v>
      </c>
      <c r="W286" s="4" t="str">
        <f t="shared" si="38"/>
        <v>High Bp</v>
      </c>
      <c r="X286" s="4">
        <f t="shared" si="39"/>
        <v>1</v>
      </c>
      <c r="Y286" s="4">
        <f t="shared" si="40"/>
        <v>0</v>
      </c>
      <c r="Z286" s="4">
        <f t="shared" si="41"/>
        <v>1</v>
      </c>
      <c r="AA286" s="4">
        <f t="shared" si="42"/>
        <v>1</v>
      </c>
      <c r="AB286" s="4">
        <f t="shared" si="43"/>
        <v>1</v>
      </c>
      <c r="AC286" s="4">
        <f>SUM(Table1_2[[#This Row],[bp score]],Table1_2[[#This Row],[bmi score]],Table1_2[[#This Row],[Csmoking score]],Table1_2[[#This Row],[Condition score]],Table1_2[[#This Row],[Cholesterol score]],)</f>
        <v>4</v>
      </c>
      <c r="AD286" s="4" t="str">
        <f t="shared" si="44"/>
        <v>High risk</v>
      </c>
    </row>
    <row r="287" spans="1:30" x14ac:dyDescent="0.35">
      <c r="A287" s="4" t="s">
        <v>823</v>
      </c>
      <c r="B287" s="4" t="s">
        <v>824</v>
      </c>
      <c r="C287">
        <v>31</v>
      </c>
      <c r="D287" s="4" t="s">
        <v>32</v>
      </c>
      <c r="E287" s="4" t="s">
        <v>127</v>
      </c>
      <c r="F287" s="4" t="s">
        <v>82</v>
      </c>
      <c r="G287">
        <v>21.6</v>
      </c>
      <c r="H287">
        <v>142</v>
      </c>
      <c r="I287">
        <v>80</v>
      </c>
      <c r="J287">
        <v>256</v>
      </c>
      <c r="K287">
        <v>194</v>
      </c>
      <c r="L287" s="4" t="s">
        <v>859</v>
      </c>
      <c r="M287">
        <v>1</v>
      </c>
      <c r="N287">
        <v>8</v>
      </c>
      <c r="O287" s="4" t="s">
        <v>35</v>
      </c>
      <c r="P287" s="5">
        <v>45153</v>
      </c>
      <c r="Q287">
        <v>5</v>
      </c>
      <c r="R287">
        <v>9</v>
      </c>
      <c r="S287" s="4" t="s">
        <v>78</v>
      </c>
      <c r="T287" s="4" t="s">
        <v>864</v>
      </c>
      <c r="U287" t="str">
        <f t="shared" si="36"/>
        <v>Normal</v>
      </c>
      <c r="V287" s="4" t="str">
        <f t="shared" si="37"/>
        <v>Adult</v>
      </c>
      <c r="W287" s="4" t="str">
        <f t="shared" si="38"/>
        <v>High Bp</v>
      </c>
      <c r="X287" s="4">
        <f t="shared" si="39"/>
        <v>1</v>
      </c>
      <c r="Y287" s="4">
        <f t="shared" si="40"/>
        <v>0</v>
      </c>
      <c r="Z287" s="4">
        <f t="shared" si="41"/>
        <v>1</v>
      </c>
      <c r="AA287" s="4">
        <f t="shared" si="42"/>
        <v>0</v>
      </c>
      <c r="AB287" s="4">
        <f t="shared" si="43"/>
        <v>1</v>
      </c>
      <c r="AC287" s="4">
        <f>SUM(Table1_2[[#This Row],[bp score]],Table1_2[[#This Row],[bmi score]],Table1_2[[#This Row],[Csmoking score]],Table1_2[[#This Row],[Condition score]],Table1_2[[#This Row],[Cholesterol score]],)</f>
        <v>3</v>
      </c>
      <c r="AD287" s="4" t="str">
        <f t="shared" si="44"/>
        <v>Medium risk</v>
      </c>
    </row>
    <row r="288" spans="1:30" x14ac:dyDescent="0.35">
      <c r="A288" s="4" t="s">
        <v>826</v>
      </c>
      <c r="B288" s="4" t="s">
        <v>827</v>
      </c>
      <c r="C288">
        <v>47</v>
      </c>
      <c r="D288" s="4" t="s">
        <v>73</v>
      </c>
      <c r="E288" s="4" t="s">
        <v>127</v>
      </c>
      <c r="F288" s="4" t="s">
        <v>75</v>
      </c>
      <c r="G288">
        <v>33.200000000000003</v>
      </c>
      <c r="H288">
        <v>138</v>
      </c>
      <c r="I288">
        <v>94</v>
      </c>
      <c r="J288">
        <v>258</v>
      </c>
      <c r="K288">
        <v>172</v>
      </c>
      <c r="L288" s="4" t="s">
        <v>100</v>
      </c>
      <c r="M288">
        <v>6</v>
      </c>
      <c r="N288">
        <v>4</v>
      </c>
      <c r="O288" s="4" t="s">
        <v>35</v>
      </c>
      <c r="P288" s="5">
        <v>44786</v>
      </c>
      <c r="Q288">
        <v>2</v>
      </c>
      <c r="R288">
        <v>10</v>
      </c>
      <c r="S288" s="4" t="s">
        <v>78</v>
      </c>
      <c r="T288" s="4" t="s">
        <v>100</v>
      </c>
      <c r="U288" t="str">
        <f t="shared" si="36"/>
        <v>Obese</v>
      </c>
      <c r="V288" s="4" t="str">
        <f t="shared" si="37"/>
        <v>Elder</v>
      </c>
      <c r="W288" s="4" t="str">
        <f t="shared" si="38"/>
        <v>High Bp</v>
      </c>
      <c r="X288" s="4">
        <f t="shared" si="39"/>
        <v>1</v>
      </c>
      <c r="Y288" s="4">
        <f t="shared" si="40"/>
        <v>1</v>
      </c>
      <c r="Z288" s="4">
        <f t="shared" si="41"/>
        <v>0</v>
      </c>
      <c r="AA288" s="4">
        <f t="shared" si="42"/>
        <v>0</v>
      </c>
      <c r="AB288" s="4">
        <f t="shared" si="43"/>
        <v>1</v>
      </c>
      <c r="AC288" s="4">
        <f>SUM(Table1_2[[#This Row],[bp score]],Table1_2[[#This Row],[bmi score]],Table1_2[[#This Row],[Csmoking score]],Table1_2[[#This Row],[Condition score]],Table1_2[[#This Row],[Cholesterol score]],)</f>
        <v>3</v>
      </c>
      <c r="AD288" s="4" t="str">
        <f t="shared" si="44"/>
        <v>Medium risk</v>
      </c>
    </row>
    <row r="289" spans="1:30" x14ac:dyDescent="0.35">
      <c r="A289" s="4" t="s">
        <v>828</v>
      </c>
      <c r="B289" s="4" t="s">
        <v>571</v>
      </c>
      <c r="C289">
        <v>43</v>
      </c>
      <c r="D289" s="4" t="s">
        <v>73</v>
      </c>
      <c r="E289" s="4" t="s">
        <v>33</v>
      </c>
      <c r="F289" s="4" t="s">
        <v>82</v>
      </c>
      <c r="G289">
        <v>35.5</v>
      </c>
      <c r="H289">
        <v>162</v>
      </c>
      <c r="I289">
        <v>67</v>
      </c>
      <c r="J289">
        <v>258</v>
      </c>
      <c r="K289">
        <v>153</v>
      </c>
      <c r="L289" s="4" t="s">
        <v>860</v>
      </c>
      <c r="M289">
        <v>1</v>
      </c>
      <c r="N289">
        <v>8</v>
      </c>
      <c r="O289" s="4" t="s">
        <v>25</v>
      </c>
      <c r="P289" s="5">
        <v>45110</v>
      </c>
      <c r="Q289">
        <v>19</v>
      </c>
      <c r="R289">
        <v>3</v>
      </c>
      <c r="S289" s="4" t="s">
        <v>78</v>
      </c>
      <c r="T289" s="4" t="s">
        <v>100</v>
      </c>
      <c r="U289" t="str">
        <f t="shared" si="36"/>
        <v>Obese</v>
      </c>
      <c r="V289" s="4" t="str">
        <f t="shared" si="37"/>
        <v>Elder</v>
      </c>
      <c r="W289" s="4" t="str">
        <f t="shared" si="38"/>
        <v>High Bp</v>
      </c>
      <c r="X289" s="4">
        <f t="shared" si="39"/>
        <v>1</v>
      </c>
      <c r="Y289" s="4">
        <f t="shared" si="40"/>
        <v>1</v>
      </c>
      <c r="Z289" s="4">
        <f t="shared" si="41"/>
        <v>0</v>
      </c>
      <c r="AA289" s="4">
        <f t="shared" si="42"/>
        <v>0</v>
      </c>
      <c r="AB289" s="4">
        <f t="shared" si="43"/>
        <v>1</v>
      </c>
      <c r="AC289" s="4">
        <f>SUM(Table1_2[[#This Row],[bp score]],Table1_2[[#This Row],[bmi score]],Table1_2[[#This Row],[Csmoking score]],Table1_2[[#This Row],[Condition score]],Table1_2[[#This Row],[Cholesterol score]],)</f>
        <v>3</v>
      </c>
      <c r="AD289" s="4" t="str">
        <f t="shared" si="44"/>
        <v>Medium risk</v>
      </c>
    </row>
    <row r="290" spans="1:30" x14ac:dyDescent="0.35">
      <c r="A290" s="4" t="s">
        <v>830</v>
      </c>
      <c r="B290" s="4" t="s">
        <v>714</v>
      </c>
      <c r="C290">
        <v>25</v>
      </c>
      <c r="D290" s="4" t="s">
        <v>73</v>
      </c>
      <c r="E290" s="4" t="s">
        <v>23</v>
      </c>
      <c r="F290" s="4" t="s">
        <v>24</v>
      </c>
      <c r="G290">
        <v>39.200000000000003</v>
      </c>
      <c r="H290">
        <v>100</v>
      </c>
      <c r="I290">
        <v>69</v>
      </c>
      <c r="J290">
        <v>178</v>
      </c>
      <c r="K290">
        <v>185</v>
      </c>
      <c r="L290" s="4" t="s">
        <v>860</v>
      </c>
      <c r="M290">
        <v>4</v>
      </c>
      <c r="N290">
        <v>7</v>
      </c>
      <c r="O290" s="4" t="s">
        <v>35</v>
      </c>
      <c r="P290" s="5">
        <v>44673</v>
      </c>
      <c r="Q290">
        <v>10</v>
      </c>
      <c r="R290">
        <v>9</v>
      </c>
      <c r="S290" s="4" t="s">
        <v>78</v>
      </c>
      <c r="T290" s="4" t="s">
        <v>863</v>
      </c>
      <c r="U290" t="str">
        <f t="shared" si="36"/>
        <v>Obese</v>
      </c>
      <c r="V290" s="4" t="str">
        <f t="shared" si="37"/>
        <v>Young adult</v>
      </c>
      <c r="W290" s="4" t="str">
        <f t="shared" si="38"/>
        <v>Normal</v>
      </c>
      <c r="X290" s="4">
        <f t="shared" si="39"/>
        <v>0</v>
      </c>
      <c r="Y290" s="4">
        <f t="shared" si="40"/>
        <v>1</v>
      </c>
      <c r="Z290" s="4">
        <f t="shared" si="41"/>
        <v>0</v>
      </c>
      <c r="AA290" s="4">
        <f t="shared" si="42"/>
        <v>0</v>
      </c>
      <c r="AB290" s="4">
        <f t="shared" si="43"/>
        <v>0</v>
      </c>
      <c r="AC290" s="4">
        <f>SUM(Table1_2[[#This Row],[bp score]],Table1_2[[#This Row],[bmi score]],Table1_2[[#This Row],[Csmoking score]],Table1_2[[#This Row],[Condition score]],Table1_2[[#This Row],[Cholesterol score]],)</f>
        <v>1</v>
      </c>
      <c r="AD290" s="4" t="str">
        <f t="shared" si="44"/>
        <v>Low risk</v>
      </c>
    </row>
    <row r="291" spans="1:30" x14ac:dyDescent="0.35">
      <c r="A291" s="4" t="s">
        <v>832</v>
      </c>
      <c r="B291" s="4" t="s">
        <v>160</v>
      </c>
      <c r="C291">
        <v>27</v>
      </c>
      <c r="D291" s="4" t="s">
        <v>32</v>
      </c>
      <c r="E291" s="4" t="s">
        <v>33</v>
      </c>
      <c r="F291" s="4" t="s">
        <v>75</v>
      </c>
      <c r="G291">
        <v>27.1</v>
      </c>
      <c r="H291">
        <v>116</v>
      </c>
      <c r="I291">
        <v>78</v>
      </c>
      <c r="J291">
        <v>155</v>
      </c>
      <c r="K291">
        <v>164</v>
      </c>
      <c r="L291" s="4" t="s">
        <v>860</v>
      </c>
      <c r="M291">
        <v>0</v>
      </c>
      <c r="N291">
        <v>1</v>
      </c>
      <c r="O291" s="4" t="s">
        <v>35</v>
      </c>
      <c r="P291" s="5">
        <v>44344</v>
      </c>
      <c r="Q291">
        <v>0</v>
      </c>
      <c r="R291">
        <v>7</v>
      </c>
      <c r="S291" s="4" t="s">
        <v>99</v>
      </c>
      <c r="T291" s="4" t="s">
        <v>100</v>
      </c>
      <c r="U291" t="str">
        <f t="shared" si="36"/>
        <v>Overweight</v>
      </c>
      <c r="V291" s="4" t="str">
        <f t="shared" si="37"/>
        <v>Young adult</v>
      </c>
      <c r="W291" s="4" t="str">
        <f t="shared" si="38"/>
        <v>Normal</v>
      </c>
      <c r="X291" s="4">
        <f t="shared" si="39"/>
        <v>0</v>
      </c>
      <c r="Y291" s="4">
        <f t="shared" si="40"/>
        <v>0</v>
      </c>
      <c r="Z291" s="4">
        <f t="shared" si="41"/>
        <v>0</v>
      </c>
      <c r="AA291" s="4">
        <f t="shared" si="42"/>
        <v>1</v>
      </c>
      <c r="AB291" s="4">
        <f t="shared" si="43"/>
        <v>0</v>
      </c>
      <c r="AC291" s="4">
        <f>SUM(Table1_2[[#This Row],[bp score]],Table1_2[[#This Row],[bmi score]],Table1_2[[#This Row],[Csmoking score]],Table1_2[[#This Row],[Condition score]],Table1_2[[#This Row],[Cholesterol score]],)</f>
        <v>1</v>
      </c>
      <c r="AD291" s="4" t="str">
        <f t="shared" si="44"/>
        <v>Low risk</v>
      </c>
    </row>
    <row r="292" spans="1:30" x14ac:dyDescent="0.35">
      <c r="A292" s="4" t="s">
        <v>833</v>
      </c>
      <c r="B292" s="4" t="s">
        <v>409</v>
      </c>
      <c r="C292">
        <v>47</v>
      </c>
      <c r="D292" s="4" t="s">
        <v>32</v>
      </c>
      <c r="E292" s="4" t="s">
        <v>65</v>
      </c>
      <c r="F292" s="4" t="s">
        <v>75</v>
      </c>
      <c r="G292">
        <v>22.3</v>
      </c>
      <c r="H292">
        <v>122</v>
      </c>
      <c r="I292">
        <v>90</v>
      </c>
      <c r="J292">
        <v>175</v>
      </c>
      <c r="K292">
        <v>118</v>
      </c>
      <c r="L292" s="4" t="s">
        <v>860</v>
      </c>
      <c r="M292">
        <v>6</v>
      </c>
      <c r="N292">
        <v>6</v>
      </c>
      <c r="O292" s="4" t="s">
        <v>25</v>
      </c>
      <c r="P292" s="5">
        <v>44709</v>
      </c>
      <c r="Q292">
        <v>4</v>
      </c>
      <c r="R292">
        <v>4</v>
      </c>
      <c r="S292" s="4" t="s">
        <v>99</v>
      </c>
      <c r="T292" s="4" t="s">
        <v>863</v>
      </c>
      <c r="U292" t="str">
        <f t="shared" si="36"/>
        <v>Normal</v>
      </c>
      <c r="V292" s="4" t="str">
        <f t="shared" si="37"/>
        <v>Elder</v>
      </c>
      <c r="W292" s="4" t="str">
        <f t="shared" si="38"/>
        <v>High Bp</v>
      </c>
      <c r="X292" s="4">
        <f t="shared" si="39"/>
        <v>1</v>
      </c>
      <c r="Y292" s="4">
        <f t="shared" si="40"/>
        <v>0</v>
      </c>
      <c r="Z292" s="4">
        <f t="shared" si="41"/>
        <v>0</v>
      </c>
      <c r="AA292" s="4">
        <f t="shared" si="42"/>
        <v>1</v>
      </c>
      <c r="AB292" s="4">
        <f t="shared" si="43"/>
        <v>0</v>
      </c>
      <c r="AC292" s="4">
        <f>SUM(Table1_2[[#This Row],[bp score]],Table1_2[[#This Row],[bmi score]],Table1_2[[#This Row],[Csmoking score]],Table1_2[[#This Row],[Condition score]],Table1_2[[#This Row],[Cholesterol score]],)</f>
        <v>2</v>
      </c>
      <c r="AD292" s="4" t="str">
        <f t="shared" si="44"/>
        <v>Medium risk</v>
      </c>
    </row>
    <row r="293" spans="1:30" x14ac:dyDescent="0.35">
      <c r="A293" s="4" t="s">
        <v>835</v>
      </c>
      <c r="B293" s="4" t="s">
        <v>836</v>
      </c>
      <c r="C293">
        <v>53</v>
      </c>
      <c r="D293" s="4" t="s">
        <v>32</v>
      </c>
      <c r="E293" s="4" t="s">
        <v>33</v>
      </c>
      <c r="F293" s="4" t="s">
        <v>82</v>
      </c>
      <c r="G293">
        <v>20.399999999999999</v>
      </c>
      <c r="H293">
        <v>153</v>
      </c>
      <c r="I293">
        <v>89</v>
      </c>
      <c r="J293">
        <v>248</v>
      </c>
      <c r="K293">
        <v>229</v>
      </c>
      <c r="L293" s="4" t="s">
        <v>860</v>
      </c>
      <c r="M293">
        <v>7</v>
      </c>
      <c r="N293">
        <v>9</v>
      </c>
      <c r="O293" s="4" t="s">
        <v>25</v>
      </c>
      <c r="P293" s="5">
        <v>45485</v>
      </c>
      <c r="Q293">
        <v>7</v>
      </c>
      <c r="R293">
        <v>5</v>
      </c>
      <c r="S293" s="4" t="s">
        <v>99</v>
      </c>
      <c r="T293" s="4" t="s">
        <v>862</v>
      </c>
      <c r="U293" t="str">
        <f t="shared" si="36"/>
        <v>Normal</v>
      </c>
      <c r="V293" s="4" t="str">
        <f t="shared" si="37"/>
        <v>Aged</v>
      </c>
      <c r="W293" s="4" t="str">
        <f t="shared" si="38"/>
        <v>High Bp</v>
      </c>
      <c r="X293" s="4">
        <f t="shared" si="39"/>
        <v>1</v>
      </c>
      <c r="Y293" s="4">
        <f t="shared" si="40"/>
        <v>0</v>
      </c>
      <c r="Z293" s="4">
        <f t="shared" si="41"/>
        <v>0</v>
      </c>
      <c r="AA293" s="4">
        <f t="shared" si="42"/>
        <v>1</v>
      </c>
      <c r="AB293" s="4">
        <f t="shared" si="43"/>
        <v>1</v>
      </c>
      <c r="AC293" s="4">
        <f>SUM(Table1_2[[#This Row],[bp score]],Table1_2[[#This Row],[bmi score]],Table1_2[[#This Row],[Csmoking score]],Table1_2[[#This Row],[Condition score]],Table1_2[[#This Row],[Cholesterol score]],)</f>
        <v>3</v>
      </c>
      <c r="AD293" s="4" t="str">
        <f t="shared" si="44"/>
        <v>Medium risk</v>
      </c>
    </row>
    <row r="294" spans="1:30" x14ac:dyDescent="0.35">
      <c r="A294" s="4" t="s">
        <v>838</v>
      </c>
      <c r="B294" s="4" t="s">
        <v>839</v>
      </c>
      <c r="C294">
        <v>37</v>
      </c>
      <c r="D294" s="4" t="s">
        <v>32</v>
      </c>
      <c r="E294" s="4" t="s">
        <v>65</v>
      </c>
      <c r="F294" s="4" t="s">
        <v>75</v>
      </c>
      <c r="G294">
        <v>31.4</v>
      </c>
      <c r="H294">
        <v>104</v>
      </c>
      <c r="I294">
        <v>62</v>
      </c>
      <c r="J294">
        <v>263</v>
      </c>
      <c r="K294">
        <v>250</v>
      </c>
      <c r="L294" s="4" t="s">
        <v>860</v>
      </c>
      <c r="M294">
        <v>1</v>
      </c>
      <c r="N294">
        <v>10</v>
      </c>
      <c r="O294" s="4" t="s">
        <v>35</v>
      </c>
      <c r="P294" s="5">
        <v>44279</v>
      </c>
      <c r="Q294">
        <v>16</v>
      </c>
      <c r="R294">
        <v>8</v>
      </c>
      <c r="S294" s="4" t="s">
        <v>92</v>
      </c>
      <c r="T294" s="4" t="s">
        <v>100</v>
      </c>
      <c r="U294" t="str">
        <f t="shared" si="36"/>
        <v>Obese</v>
      </c>
      <c r="V294" s="4" t="str">
        <f t="shared" si="37"/>
        <v>Adult</v>
      </c>
      <c r="W294" s="4" t="str">
        <f t="shared" si="38"/>
        <v>Normal</v>
      </c>
      <c r="X294" s="4">
        <f t="shared" si="39"/>
        <v>0</v>
      </c>
      <c r="Y294" s="4">
        <f t="shared" si="40"/>
        <v>1</v>
      </c>
      <c r="Z294" s="4">
        <f t="shared" si="41"/>
        <v>0</v>
      </c>
      <c r="AA294" s="4">
        <f t="shared" si="42"/>
        <v>1</v>
      </c>
      <c r="AB294" s="4">
        <f t="shared" si="43"/>
        <v>1</v>
      </c>
      <c r="AC294" s="4">
        <f>SUM(Table1_2[[#This Row],[bp score]],Table1_2[[#This Row],[bmi score]],Table1_2[[#This Row],[Csmoking score]],Table1_2[[#This Row],[Condition score]],Table1_2[[#This Row],[Cholesterol score]],)</f>
        <v>3</v>
      </c>
      <c r="AD294" s="4" t="str">
        <f t="shared" si="44"/>
        <v>Medium risk</v>
      </c>
    </row>
    <row r="295" spans="1:30" x14ac:dyDescent="0.35">
      <c r="A295" s="4" t="s">
        <v>841</v>
      </c>
      <c r="B295" s="4" t="s">
        <v>787</v>
      </c>
      <c r="C295">
        <v>61</v>
      </c>
      <c r="D295" s="4" t="s">
        <v>73</v>
      </c>
      <c r="E295" s="4" t="s">
        <v>23</v>
      </c>
      <c r="F295" s="4" t="s">
        <v>90</v>
      </c>
      <c r="G295">
        <v>32.799999999999997</v>
      </c>
      <c r="H295">
        <v>109</v>
      </c>
      <c r="I295">
        <v>103</v>
      </c>
      <c r="J295">
        <v>278</v>
      </c>
      <c r="K295">
        <v>218</v>
      </c>
      <c r="L295" s="4" t="s">
        <v>859</v>
      </c>
      <c r="M295">
        <v>0</v>
      </c>
      <c r="N295">
        <v>1</v>
      </c>
      <c r="O295" s="4" t="s">
        <v>35</v>
      </c>
      <c r="P295" s="5">
        <v>44423</v>
      </c>
      <c r="Q295">
        <v>16</v>
      </c>
      <c r="R295">
        <v>15</v>
      </c>
      <c r="S295" s="4" t="s">
        <v>78</v>
      </c>
      <c r="T295" s="4" t="s">
        <v>864</v>
      </c>
      <c r="U295" t="str">
        <f t="shared" si="36"/>
        <v>Obese</v>
      </c>
      <c r="V295" s="4" t="str">
        <f t="shared" si="37"/>
        <v>Aged</v>
      </c>
      <c r="W295" s="4" t="str">
        <f t="shared" si="38"/>
        <v>High Bp</v>
      </c>
      <c r="X295" s="4">
        <f t="shared" si="39"/>
        <v>1</v>
      </c>
      <c r="Y295" s="4">
        <f t="shared" si="40"/>
        <v>1</v>
      </c>
      <c r="Z295" s="4">
        <f t="shared" si="41"/>
        <v>1</v>
      </c>
      <c r="AA295" s="4">
        <f t="shared" si="42"/>
        <v>0</v>
      </c>
      <c r="AB295" s="4">
        <f t="shared" si="43"/>
        <v>1</v>
      </c>
      <c r="AC295" s="4">
        <f>SUM(Table1_2[[#This Row],[bp score]],Table1_2[[#This Row],[bmi score]],Table1_2[[#This Row],[Csmoking score]],Table1_2[[#This Row],[Condition score]],Table1_2[[#This Row],[Cholesterol score]],)</f>
        <v>4</v>
      </c>
      <c r="AD295" s="4" t="str">
        <f t="shared" si="44"/>
        <v>High risk</v>
      </c>
    </row>
    <row r="296" spans="1:30" x14ac:dyDescent="0.35">
      <c r="A296" s="4" t="s">
        <v>842</v>
      </c>
      <c r="B296" s="4" t="s">
        <v>160</v>
      </c>
      <c r="C296">
        <v>40</v>
      </c>
      <c r="D296" s="4" t="s">
        <v>32</v>
      </c>
      <c r="E296" s="4" t="s">
        <v>33</v>
      </c>
      <c r="F296" s="4" t="s">
        <v>117</v>
      </c>
      <c r="G296">
        <v>34.4</v>
      </c>
      <c r="H296">
        <v>138</v>
      </c>
      <c r="I296">
        <v>96</v>
      </c>
      <c r="J296">
        <v>206</v>
      </c>
      <c r="K296">
        <v>85</v>
      </c>
      <c r="L296" s="4" t="s">
        <v>859</v>
      </c>
      <c r="M296">
        <v>0</v>
      </c>
      <c r="N296">
        <v>3</v>
      </c>
      <c r="O296" s="4" t="s">
        <v>25</v>
      </c>
      <c r="P296" s="5">
        <v>45280</v>
      </c>
      <c r="Q296">
        <v>0</v>
      </c>
      <c r="R296">
        <v>9</v>
      </c>
      <c r="S296" s="4" t="s">
        <v>92</v>
      </c>
      <c r="T296" s="4" t="s">
        <v>863</v>
      </c>
      <c r="U296" t="str">
        <f t="shared" si="36"/>
        <v>Obese</v>
      </c>
      <c r="V296" s="4" t="str">
        <f t="shared" si="37"/>
        <v>Adult</v>
      </c>
      <c r="W296" s="4" t="str">
        <f t="shared" si="38"/>
        <v>High Bp</v>
      </c>
      <c r="X296" s="4">
        <f t="shared" si="39"/>
        <v>1</v>
      </c>
      <c r="Y296" s="4">
        <f t="shared" si="40"/>
        <v>1</v>
      </c>
      <c r="Z296" s="4">
        <f t="shared" si="41"/>
        <v>1</v>
      </c>
      <c r="AA296" s="4">
        <f t="shared" si="42"/>
        <v>1</v>
      </c>
      <c r="AB296" s="4">
        <f t="shared" si="43"/>
        <v>1</v>
      </c>
      <c r="AC296" s="4">
        <f>SUM(Table1_2[[#This Row],[bp score]],Table1_2[[#This Row],[bmi score]],Table1_2[[#This Row],[Csmoking score]],Table1_2[[#This Row],[Condition score]],Table1_2[[#This Row],[Cholesterol score]],)</f>
        <v>5</v>
      </c>
      <c r="AD296" s="4" t="str">
        <f t="shared" si="44"/>
        <v>High risk</v>
      </c>
    </row>
    <row r="297" spans="1:30" x14ac:dyDescent="0.35">
      <c r="A297" s="4" t="s">
        <v>844</v>
      </c>
      <c r="B297" s="4" t="s">
        <v>845</v>
      </c>
      <c r="C297">
        <v>26</v>
      </c>
      <c r="D297" s="4" t="s">
        <v>32</v>
      </c>
      <c r="E297" s="4" t="s">
        <v>74</v>
      </c>
      <c r="F297" s="4" t="s">
        <v>24</v>
      </c>
      <c r="G297">
        <v>32.4</v>
      </c>
      <c r="H297">
        <v>135</v>
      </c>
      <c r="I297">
        <v>76</v>
      </c>
      <c r="J297">
        <v>143</v>
      </c>
      <c r="K297">
        <v>98</v>
      </c>
      <c r="L297" s="4" t="s">
        <v>100</v>
      </c>
      <c r="M297">
        <v>2</v>
      </c>
      <c r="N297">
        <v>10</v>
      </c>
      <c r="O297" s="4" t="s">
        <v>25</v>
      </c>
      <c r="P297" s="5">
        <v>45469</v>
      </c>
      <c r="Q297">
        <v>5</v>
      </c>
      <c r="R297">
        <v>8</v>
      </c>
      <c r="S297" s="4" t="s">
        <v>78</v>
      </c>
      <c r="T297" s="4" t="s">
        <v>100</v>
      </c>
      <c r="U297" t="str">
        <f t="shared" si="36"/>
        <v>Obese</v>
      </c>
      <c r="V297" s="4" t="str">
        <f t="shared" si="37"/>
        <v>Young adult</v>
      </c>
      <c r="W297" s="4" t="str">
        <f t="shared" si="38"/>
        <v>High Bp</v>
      </c>
      <c r="X297" s="4">
        <f t="shared" si="39"/>
        <v>1</v>
      </c>
      <c r="Y297" s="4">
        <f t="shared" si="40"/>
        <v>1</v>
      </c>
      <c r="Z297" s="4">
        <f t="shared" si="41"/>
        <v>0</v>
      </c>
      <c r="AA297" s="4">
        <f t="shared" si="42"/>
        <v>0</v>
      </c>
      <c r="AB297" s="4">
        <f t="shared" si="43"/>
        <v>0</v>
      </c>
      <c r="AC297" s="4">
        <f>SUM(Table1_2[[#This Row],[bp score]],Table1_2[[#This Row],[bmi score]],Table1_2[[#This Row],[Csmoking score]],Table1_2[[#This Row],[Condition score]],Table1_2[[#This Row],[Cholesterol score]],)</f>
        <v>2</v>
      </c>
      <c r="AD297" s="4" t="str">
        <f t="shared" si="44"/>
        <v>Medium risk</v>
      </c>
    </row>
    <row r="298" spans="1:30" x14ac:dyDescent="0.35">
      <c r="A298" s="4" t="s">
        <v>847</v>
      </c>
      <c r="B298" s="4" t="s">
        <v>848</v>
      </c>
      <c r="C298">
        <v>24</v>
      </c>
      <c r="D298" s="4" t="s">
        <v>73</v>
      </c>
      <c r="E298" s="4" t="s">
        <v>131</v>
      </c>
      <c r="F298" s="4" t="s">
        <v>24</v>
      </c>
      <c r="G298">
        <v>31.9</v>
      </c>
      <c r="H298">
        <v>119</v>
      </c>
      <c r="I298">
        <v>91</v>
      </c>
      <c r="J298">
        <v>245</v>
      </c>
      <c r="K298">
        <v>168</v>
      </c>
      <c r="L298" s="4" t="s">
        <v>861</v>
      </c>
      <c r="M298">
        <v>7</v>
      </c>
      <c r="N298">
        <v>8</v>
      </c>
      <c r="O298" s="4" t="s">
        <v>25</v>
      </c>
      <c r="P298" s="5">
        <v>44858</v>
      </c>
      <c r="Q298">
        <v>11</v>
      </c>
      <c r="R298">
        <v>1</v>
      </c>
      <c r="S298" s="4" t="s">
        <v>78</v>
      </c>
      <c r="T298" s="4" t="s">
        <v>863</v>
      </c>
      <c r="U298" t="str">
        <f t="shared" si="36"/>
        <v>Obese</v>
      </c>
      <c r="V298" s="4" t="str">
        <f t="shared" si="37"/>
        <v>Young adult</v>
      </c>
      <c r="W298" s="4" t="str">
        <f t="shared" si="38"/>
        <v>High Bp</v>
      </c>
      <c r="X298" s="4">
        <f t="shared" si="39"/>
        <v>1</v>
      </c>
      <c r="Y298" s="4">
        <f t="shared" si="40"/>
        <v>1</v>
      </c>
      <c r="Z298" s="4">
        <f t="shared" si="41"/>
        <v>0</v>
      </c>
      <c r="AA298" s="4">
        <f t="shared" si="42"/>
        <v>0</v>
      </c>
      <c r="AB298" s="4">
        <f t="shared" si="43"/>
        <v>1</v>
      </c>
      <c r="AC298" s="4">
        <f>SUM(Table1_2[[#This Row],[bp score]],Table1_2[[#This Row],[bmi score]],Table1_2[[#This Row],[Csmoking score]],Table1_2[[#This Row],[Condition score]],Table1_2[[#This Row],[Cholesterol score]],)</f>
        <v>3</v>
      </c>
      <c r="AD298" s="4" t="str">
        <f t="shared" si="44"/>
        <v>Medium risk</v>
      </c>
    </row>
    <row r="299" spans="1:30" x14ac:dyDescent="0.35">
      <c r="A299" s="4" t="s">
        <v>850</v>
      </c>
      <c r="B299" s="4" t="s">
        <v>754</v>
      </c>
      <c r="C299">
        <v>32</v>
      </c>
      <c r="D299" s="4" t="s">
        <v>73</v>
      </c>
      <c r="E299" s="4" t="s">
        <v>65</v>
      </c>
      <c r="F299" s="4" t="s">
        <v>90</v>
      </c>
      <c r="G299">
        <v>24.5</v>
      </c>
      <c r="H299">
        <v>168</v>
      </c>
      <c r="I299">
        <v>74</v>
      </c>
      <c r="J299">
        <v>237</v>
      </c>
      <c r="K299">
        <v>244</v>
      </c>
      <c r="L299" s="4" t="s">
        <v>860</v>
      </c>
      <c r="M299">
        <v>7</v>
      </c>
      <c r="N299">
        <v>5</v>
      </c>
      <c r="O299" s="4" t="s">
        <v>25</v>
      </c>
      <c r="P299" s="5">
        <v>45301</v>
      </c>
      <c r="Q299">
        <v>14</v>
      </c>
      <c r="R299">
        <v>12</v>
      </c>
      <c r="S299" s="4" t="s">
        <v>78</v>
      </c>
      <c r="T299" s="4" t="s">
        <v>864</v>
      </c>
      <c r="U299" t="str">
        <f t="shared" si="36"/>
        <v>Normal</v>
      </c>
      <c r="V299" s="4" t="str">
        <f t="shared" si="37"/>
        <v>Adult</v>
      </c>
      <c r="W299" s="4" t="str">
        <f t="shared" si="38"/>
        <v>High Bp</v>
      </c>
      <c r="X299" s="4">
        <f t="shared" si="39"/>
        <v>1</v>
      </c>
      <c r="Y299" s="4">
        <f t="shared" si="40"/>
        <v>0</v>
      </c>
      <c r="Z299" s="4">
        <f t="shared" si="41"/>
        <v>0</v>
      </c>
      <c r="AA299" s="4">
        <f t="shared" si="42"/>
        <v>0</v>
      </c>
      <c r="AB299" s="4">
        <f t="shared" si="43"/>
        <v>1</v>
      </c>
      <c r="AC299" s="4">
        <f>SUM(Table1_2[[#This Row],[bp score]],Table1_2[[#This Row],[bmi score]],Table1_2[[#This Row],[Csmoking score]],Table1_2[[#This Row],[Condition score]],Table1_2[[#This Row],[Cholesterol score]],)</f>
        <v>2</v>
      </c>
      <c r="AD299" s="4" t="str">
        <f t="shared" si="44"/>
        <v>Medium risk</v>
      </c>
    </row>
    <row r="300" spans="1:30" x14ac:dyDescent="0.35">
      <c r="A300" s="4" t="s">
        <v>851</v>
      </c>
      <c r="B300" s="4" t="s">
        <v>852</v>
      </c>
      <c r="C300">
        <v>28</v>
      </c>
      <c r="D300" s="4" t="s">
        <v>73</v>
      </c>
      <c r="E300" s="4" t="s">
        <v>65</v>
      </c>
      <c r="F300" s="4" t="s">
        <v>66</v>
      </c>
      <c r="G300">
        <v>40</v>
      </c>
      <c r="H300">
        <v>134</v>
      </c>
      <c r="I300">
        <v>81</v>
      </c>
      <c r="J300">
        <v>209</v>
      </c>
      <c r="K300">
        <v>138</v>
      </c>
      <c r="L300" s="4" t="s">
        <v>860</v>
      </c>
      <c r="M300">
        <v>4</v>
      </c>
      <c r="N300">
        <v>10</v>
      </c>
      <c r="O300" s="4" t="s">
        <v>25</v>
      </c>
      <c r="P300" s="5">
        <v>45620</v>
      </c>
      <c r="Q300">
        <v>7</v>
      </c>
      <c r="R300">
        <v>18</v>
      </c>
      <c r="S300" s="4" t="s">
        <v>78</v>
      </c>
      <c r="T300" s="4" t="s">
        <v>100</v>
      </c>
      <c r="U300" t="str">
        <f t="shared" si="36"/>
        <v>Obese</v>
      </c>
      <c r="V300" s="4" t="str">
        <f t="shared" si="37"/>
        <v>Young adult</v>
      </c>
      <c r="W300" s="4" t="str">
        <f t="shared" si="38"/>
        <v>High Bp</v>
      </c>
      <c r="X300" s="4">
        <f t="shared" si="39"/>
        <v>1</v>
      </c>
      <c r="Y300" s="4">
        <f t="shared" si="40"/>
        <v>1</v>
      </c>
      <c r="Z300" s="4">
        <f t="shared" si="41"/>
        <v>0</v>
      </c>
      <c r="AA300" s="4">
        <f t="shared" si="42"/>
        <v>0</v>
      </c>
      <c r="AB300" s="4">
        <f t="shared" si="43"/>
        <v>1</v>
      </c>
      <c r="AC300" s="4">
        <f>SUM(Table1_2[[#This Row],[bp score]],Table1_2[[#This Row],[bmi score]],Table1_2[[#This Row],[Csmoking score]],Table1_2[[#This Row],[Condition score]],Table1_2[[#This Row],[Cholesterol score]],)</f>
        <v>3</v>
      </c>
      <c r="AD300" s="4" t="str">
        <f t="shared" si="44"/>
        <v>Medium risk</v>
      </c>
    </row>
    <row r="301" spans="1:30" x14ac:dyDescent="0.35">
      <c r="A301" s="4" t="s">
        <v>854</v>
      </c>
      <c r="B301" s="4" t="s">
        <v>748</v>
      </c>
      <c r="C301">
        <v>42</v>
      </c>
      <c r="D301" s="4" t="s">
        <v>32</v>
      </c>
      <c r="E301" s="4" t="s">
        <v>161</v>
      </c>
      <c r="F301" s="4" t="s">
        <v>82</v>
      </c>
      <c r="G301">
        <v>17.3</v>
      </c>
      <c r="H301">
        <v>112</v>
      </c>
      <c r="I301">
        <v>93</v>
      </c>
      <c r="J301">
        <v>166</v>
      </c>
      <c r="K301">
        <v>245</v>
      </c>
      <c r="L301" s="4" t="s">
        <v>859</v>
      </c>
      <c r="M301">
        <v>5</v>
      </c>
      <c r="N301">
        <v>4</v>
      </c>
      <c r="O301" s="4" t="s">
        <v>25</v>
      </c>
      <c r="P301" s="5">
        <v>44941</v>
      </c>
      <c r="Q301">
        <v>0</v>
      </c>
      <c r="R301">
        <v>2</v>
      </c>
      <c r="S301" s="4" t="s">
        <v>46</v>
      </c>
      <c r="T301" s="4" t="s">
        <v>862</v>
      </c>
      <c r="U301" t="str">
        <f t="shared" si="36"/>
        <v>Underweight</v>
      </c>
      <c r="V301" s="4" t="str">
        <f t="shared" si="37"/>
        <v>Elder</v>
      </c>
      <c r="W301" s="4" t="str">
        <f t="shared" si="38"/>
        <v>High Bp</v>
      </c>
      <c r="X301" s="4">
        <f t="shared" si="39"/>
        <v>1</v>
      </c>
      <c r="Y301" s="4">
        <f t="shared" si="40"/>
        <v>0</v>
      </c>
      <c r="Z301" s="4">
        <f t="shared" si="41"/>
        <v>1</v>
      </c>
      <c r="AA301" s="4">
        <f t="shared" si="42"/>
        <v>0</v>
      </c>
      <c r="AB301" s="4">
        <f t="shared" si="43"/>
        <v>0</v>
      </c>
      <c r="AC301" s="4">
        <f>SUM(Table1_2[[#This Row],[bp score]],Table1_2[[#This Row],[bmi score]],Table1_2[[#This Row],[Csmoking score]],Table1_2[[#This Row],[Condition score]],Table1_2[[#This Row],[Cholesterol score]],)</f>
        <v>2</v>
      </c>
      <c r="AD301" s="4" t="str">
        <f t="shared" si="44"/>
        <v>Medium risk</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BB0FE-9A9B-4D8C-B704-FA8B46B502AD}">
  <dimension ref="A1:CN43"/>
  <sheetViews>
    <sheetView topLeftCell="BE2" zoomScale="70" zoomScaleNormal="70" workbookViewId="0">
      <selection activeCell="N8" sqref="N8"/>
    </sheetView>
  </sheetViews>
  <sheetFormatPr defaultRowHeight="14.5" x14ac:dyDescent="0.35"/>
  <cols>
    <col min="1" max="1" width="13.08984375" bestFit="1" customWidth="1"/>
    <col min="2" max="2" width="15.90625" bestFit="1" customWidth="1"/>
    <col min="3" max="3" width="7.81640625" bestFit="1" customWidth="1"/>
    <col min="4" max="4" width="10.7265625" bestFit="1" customWidth="1"/>
    <col min="5" max="5" width="14" bestFit="1" customWidth="1"/>
    <col min="6" max="7" width="10.7265625" bestFit="1" customWidth="1"/>
    <col min="8" max="8" width="18.54296875" bestFit="1" customWidth="1"/>
    <col min="9" max="9" width="15.90625" bestFit="1" customWidth="1"/>
    <col min="10" max="10" width="5" bestFit="1" customWidth="1"/>
    <col min="11" max="11" width="5.08984375" bestFit="1" customWidth="1"/>
    <col min="12" max="12" width="10.81640625" bestFit="1" customWidth="1"/>
    <col min="13" max="13" width="10.7265625" bestFit="1" customWidth="1"/>
    <col min="14" max="14" width="27.7265625" bestFit="1" customWidth="1"/>
    <col min="15" max="15" width="18.54296875" bestFit="1" customWidth="1"/>
    <col min="16" max="16" width="27.7265625" bestFit="1" customWidth="1"/>
    <col min="17" max="17" width="23.36328125" bestFit="1" customWidth="1"/>
    <col min="18" max="18" width="32.54296875" bestFit="1" customWidth="1"/>
    <col min="19" max="19" width="13.08984375" bestFit="1" customWidth="1"/>
    <col min="20" max="20" width="18.54296875" bestFit="1" customWidth="1"/>
    <col min="21" max="21" width="5.26953125" bestFit="1" customWidth="1"/>
    <col min="22" max="22" width="5.08984375" bestFit="1" customWidth="1"/>
    <col min="23" max="23" width="5.453125" bestFit="1" customWidth="1"/>
    <col min="24" max="24" width="5.26953125" bestFit="1" customWidth="1"/>
    <col min="25" max="25" width="4.1796875" bestFit="1" customWidth="1"/>
    <col min="26" max="26" width="5.81640625" bestFit="1" customWidth="1"/>
    <col min="27" max="27" width="10.7265625" bestFit="1" customWidth="1"/>
    <col min="28" max="28" width="5.08984375" bestFit="1" customWidth="1"/>
    <col min="29" max="29" width="5.54296875" bestFit="1" customWidth="1"/>
    <col min="30" max="30" width="5.36328125" bestFit="1" customWidth="1"/>
    <col min="31" max="31" width="4.36328125" bestFit="1" customWidth="1"/>
    <col min="32" max="32" width="6" bestFit="1" customWidth="1"/>
    <col min="33" max="33" width="10.7265625" bestFit="1" customWidth="1"/>
    <col min="35" max="35" width="13.08984375" bestFit="1" customWidth="1"/>
    <col min="36" max="37" width="20.453125" bestFit="1" customWidth="1"/>
    <col min="38" max="38" width="19.7265625" bestFit="1" customWidth="1"/>
    <col min="39" max="39" width="19.81640625" customWidth="1"/>
    <col min="40" max="40" width="23.7265625" bestFit="1" customWidth="1"/>
    <col min="41" max="41" width="13.08984375" bestFit="1" customWidth="1"/>
    <col min="42" max="42" width="19.7265625" bestFit="1" customWidth="1"/>
    <col min="46" max="46" width="13.08984375" bestFit="1" customWidth="1"/>
    <col min="47" max="48" width="20.453125" bestFit="1" customWidth="1"/>
    <col min="52" max="52" width="13.08984375" bestFit="1" customWidth="1"/>
    <col min="53" max="53" width="19.7265625" bestFit="1" customWidth="1"/>
    <col min="54" max="58" width="8.90625" bestFit="1" customWidth="1"/>
    <col min="59" max="59" width="16.81640625" bestFit="1" customWidth="1"/>
    <col min="60" max="60" width="19.7265625" bestFit="1" customWidth="1"/>
    <col min="61" max="61" width="13.36328125" bestFit="1" customWidth="1"/>
    <col min="62" max="62" width="17.1796875" bestFit="1" customWidth="1"/>
    <col min="63" max="63" width="8.90625" bestFit="1" customWidth="1"/>
    <col min="64" max="64" width="10.7265625" bestFit="1" customWidth="1"/>
    <col min="65" max="66" width="8.08984375" bestFit="1" customWidth="1"/>
    <col min="67" max="67" width="9.453125" bestFit="1" customWidth="1"/>
    <col min="68" max="68" width="8.08984375" bestFit="1" customWidth="1"/>
    <col min="69" max="69" width="19.7265625" bestFit="1" customWidth="1"/>
    <col min="70" max="70" width="15.90625" bestFit="1" customWidth="1"/>
    <col min="71" max="71" width="8" bestFit="1" customWidth="1"/>
    <col min="72" max="72" width="11.90625" bestFit="1" customWidth="1"/>
    <col min="73" max="73" width="7.1796875" bestFit="1" customWidth="1"/>
    <col min="74" max="75" width="10.7265625" bestFit="1" customWidth="1"/>
    <col min="76" max="76" width="9.453125" bestFit="1" customWidth="1"/>
    <col min="77" max="78" width="8.08984375" bestFit="1" customWidth="1"/>
    <col min="79" max="79" width="17" customWidth="1"/>
    <col min="80" max="80" width="13.08984375" bestFit="1" customWidth="1"/>
    <col min="81" max="81" width="19.7265625" bestFit="1" customWidth="1"/>
    <col min="82" max="82" width="20.453125" bestFit="1" customWidth="1"/>
    <col min="83" max="83" width="19.7265625" bestFit="1" customWidth="1"/>
    <col min="84" max="84" width="9.453125" bestFit="1" customWidth="1"/>
    <col min="85" max="85" width="8.08984375" bestFit="1" customWidth="1"/>
    <col min="86" max="86" width="19.7265625" bestFit="1" customWidth="1"/>
    <col min="87" max="88" width="20.453125" bestFit="1" customWidth="1"/>
    <col min="89" max="89" width="9.81640625" bestFit="1" customWidth="1"/>
    <col min="90" max="90" width="8.08984375" bestFit="1" customWidth="1"/>
    <col min="91" max="91" width="13.08984375" bestFit="1" customWidth="1"/>
    <col min="92" max="92" width="19.7265625" bestFit="1" customWidth="1"/>
    <col min="93" max="100" width="24.36328125" bestFit="1" customWidth="1"/>
    <col min="101" max="101" width="24.54296875" bestFit="1" customWidth="1"/>
    <col min="102" max="102" width="29.26953125" bestFit="1" customWidth="1"/>
    <col min="103" max="104" width="8.08984375" bestFit="1" customWidth="1"/>
    <col min="105" max="105" width="9.453125" bestFit="1" customWidth="1"/>
    <col min="106" max="106" width="9.81640625" bestFit="1" customWidth="1"/>
    <col min="107" max="109" width="8.08984375" bestFit="1" customWidth="1"/>
    <col min="110" max="110" width="9.453125" bestFit="1" customWidth="1"/>
    <col min="111" max="113" width="8.08984375" bestFit="1" customWidth="1"/>
    <col min="114" max="114" width="9.453125" bestFit="1" customWidth="1"/>
    <col min="115" max="117" width="8.08984375" bestFit="1" customWidth="1"/>
    <col min="118" max="118" width="9.453125" bestFit="1" customWidth="1"/>
    <col min="119" max="121" width="8.08984375" bestFit="1" customWidth="1"/>
    <col min="122" max="122" width="9.453125" bestFit="1" customWidth="1"/>
    <col min="123" max="123" width="9.81640625" bestFit="1" customWidth="1"/>
    <col min="124" max="124" width="10.7265625" bestFit="1" customWidth="1"/>
    <col min="125" max="127" width="9.1796875" bestFit="1" customWidth="1"/>
    <col min="128" max="134" width="10.26953125" bestFit="1" customWidth="1"/>
    <col min="135" max="137" width="9.1796875" bestFit="1" customWidth="1"/>
    <col min="138" max="142" width="10.26953125" bestFit="1" customWidth="1"/>
    <col min="143" max="146" width="9.1796875" bestFit="1" customWidth="1"/>
    <col min="147" max="149" width="10.26953125" bestFit="1" customWidth="1"/>
    <col min="150" max="152" width="9.1796875" bestFit="1" customWidth="1"/>
    <col min="153" max="156" width="10.26953125" bestFit="1" customWidth="1"/>
    <col min="157" max="158" width="9.1796875" bestFit="1" customWidth="1"/>
    <col min="159" max="168" width="10.26953125" bestFit="1" customWidth="1"/>
    <col min="169" max="169" width="11.26953125" bestFit="1" customWidth="1"/>
    <col min="170" max="173" width="10.26953125" bestFit="1" customWidth="1"/>
    <col min="174" max="179" width="11.26953125" bestFit="1" customWidth="1"/>
    <col min="180" max="180" width="10.26953125" bestFit="1" customWidth="1"/>
    <col min="181" max="185" width="11.26953125" bestFit="1" customWidth="1"/>
    <col min="186" max="188" width="9.1796875" bestFit="1" customWidth="1"/>
    <col min="189" max="191" width="10.26953125" bestFit="1" customWidth="1"/>
    <col min="192" max="194" width="9.1796875" bestFit="1" customWidth="1"/>
    <col min="195" max="198" width="10.26953125" bestFit="1" customWidth="1"/>
    <col min="199" max="200" width="9.1796875" bestFit="1" customWidth="1"/>
    <col min="201" max="204" width="10.26953125" bestFit="1" customWidth="1"/>
    <col min="205" max="205" width="9.1796875" bestFit="1" customWidth="1"/>
    <col min="206" max="207" width="10.26953125" bestFit="1" customWidth="1"/>
    <col min="208" max="208" width="9.1796875" bestFit="1" customWidth="1"/>
    <col min="209" max="210" width="10.26953125" bestFit="1" customWidth="1"/>
    <col min="211" max="211" width="9.1796875" bestFit="1" customWidth="1"/>
    <col min="212" max="215" width="10.26953125" bestFit="1" customWidth="1"/>
    <col min="216" max="219" width="9.1796875" bestFit="1" customWidth="1"/>
    <col min="220" max="222" width="10.26953125" bestFit="1" customWidth="1"/>
    <col min="223" max="223" width="9.1796875" bestFit="1" customWidth="1"/>
    <col min="224" max="228" width="10.26953125" bestFit="1" customWidth="1"/>
    <col min="229" max="230" width="9.1796875" bestFit="1" customWidth="1"/>
    <col min="231" max="237" width="10.26953125" bestFit="1" customWidth="1"/>
    <col min="238" max="242" width="11.26953125" bestFit="1" customWidth="1"/>
    <col min="243" max="244" width="10.26953125" bestFit="1" customWidth="1"/>
    <col min="245" max="248" width="11.26953125" bestFit="1" customWidth="1"/>
    <col min="249" max="250" width="10.26953125" bestFit="1" customWidth="1"/>
    <col min="251" max="254" width="11.26953125" bestFit="1" customWidth="1"/>
    <col min="255" max="255" width="9.1796875" bestFit="1" customWidth="1"/>
    <col min="256" max="261" width="10.26953125" bestFit="1" customWidth="1"/>
    <col min="262" max="262" width="9.1796875" bestFit="1" customWidth="1"/>
    <col min="263" max="265" width="10.26953125" bestFit="1" customWidth="1"/>
    <col min="266" max="267" width="9.1796875" bestFit="1" customWidth="1"/>
    <col min="268" max="272" width="10.26953125" bestFit="1" customWidth="1"/>
    <col min="273" max="273" width="9.1796875" bestFit="1" customWidth="1"/>
    <col min="274" max="279" width="10.26953125" bestFit="1" customWidth="1"/>
    <col min="280" max="282" width="9.1796875" bestFit="1" customWidth="1"/>
    <col min="283" max="284" width="10.26953125" bestFit="1" customWidth="1"/>
    <col min="285" max="287" width="9.1796875" bestFit="1" customWidth="1"/>
    <col min="288" max="294" width="10.26953125" bestFit="1" customWidth="1"/>
    <col min="295" max="295" width="9.1796875" bestFit="1" customWidth="1"/>
    <col min="296" max="298" width="10.26953125" bestFit="1" customWidth="1"/>
    <col min="299" max="299" width="9.1796875" bestFit="1" customWidth="1"/>
    <col min="300" max="303" width="10.26953125" bestFit="1" customWidth="1"/>
    <col min="304" max="309" width="11.26953125" bestFit="1" customWidth="1"/>
    <col min="310" max="311" width="10.26953125" bestFit="1" customWidth="1"/>
    <col min="312" max="314" width="11.26953125" bestFit="1" customWidth="1"/>
    <col min="315" max="315" width="10.26953125" bestFit="1" customWidth="1"/>
    <col min="316" max="319" width="11.26953125" bestFit="1" customWidth="1"/>
    <col min="320" max="320" width="8.08984375" bestFit="1" customWidth="1"/>
    <col min="321" max="321" width="10.7265625" bestFit="1" customWidth="1"/>
  </cols>
  <sheetData>
    <row r="1" spans="1:92" x14ac:dyDescent="0.35">
      <c r="A1">
        <v>1</v>
      </c>
      <c r="H1">
        <v>2</v>
      </c>
      <c r="T1">
        <v>3</v>
      </c>
      <c r="AJ1">
        <v>4</v>
      </c>
      <c r="AO1">
        <v>5</v>
      </c>
      <c r="AT1">
        <v>6</v>
      </c>
      <c r="BA1">
        <v>7</v>
      </c>
      <c r="BG1">
        <v>8</v>
      </c>
      <c r="BQ1">
        <v>9</v>
      </c>
      <c r="CB1">
        <v>10</v>
      </c>
      <c r="CH1" t="s">
        <v>932</v>
      </c>
    </row>
    <row r="2" spans="1:92" x14ac:dyDescent="0.35">
      <c r="A2" t="s">
        <v>875</v>
      </c>
      <c r="H2" t="s">
        <v>883</v>
      </c>
      <c r="S2" t="s">
        <v>889</v>
      </c>
      <c r="AI2" t="s">
        <v>893</v>
      </c>
      <c r="AO2" t="s">
        <v>900</v>
      </c>
      <c r="AZ2" t="s">
        <v>909</v>
      </c>
      <c r="BG2" t="s">
        <v>911</v>
      </c>
      <c r="BQ2" t="s">
        <v>914</v>
      </c>
      <c r="CB2" t="s">
        <v>927</v>
      </c>
      <c r="CH2" t="s">
        <v>934</v>
      </c>
    </row>
    <row r="3" spans="1:92" x14ac:dyDescent="0.35">
      <c r="A3" s="6" t="s">
        <v>868</v>
      </c>
      <c r="B3" t="s">
        <v>866</v>
      </c>
      <c r="C3" t="s">
        <v>874</v>
      </c>
      <c r="H3" s="6" t="s">
        <v>868</v>
      </c>
      <c r="I3" t="s">
        <v>886</v>
      </c>
      <c r="S3" s="6" t="s">
        <v>868</v>
      </c>
      <c r="T3" t="s">
        <v>886</v>
      </c>
      <c r="AI3" s="6" t="s">
        <v>868</v>
      </c>
      <c r="AJ3" t="s">
        <v>891</v>
      </c>
      <c r="AK3" t="s">
        <v>892</v>
      </c>
      <c r="AL3" t="s">
        <v>874</v>
      </c>
      <c r="AM3" t="s">
        <v>941</v>
      </c>
      <c r="AN3">
        <v>2023</v>
      </c>
      <c r="AO3" s="6" t="s">
        <v>868</v>
      </c>
      <c r="AP3" t="s">
        <v>874</v>
      </c>
      <c r="AT3" t="s">
        <v>906</v>
      </c>
      <c r="AZ3" s="6" t="s">
        <v>868</v>
      </c>
      <c r="BA3" t="s">
        <v>874</v>
      </c>
      <c r="BG3" s="6" t="s">
        <v>868</v>
      </c>
      <c r="BH3" t="s">
        <v>874</v>
      </c>
      <c r="BQ3" s="6" t="s">
        <v>874</v>
      </c>
      <c r="BR3" s="6" t="s">
        <v>877</v>
      </c>
      <c r="CB3" s="6" t="s">
        <v>868</v>
      </c>
      <c r="CC3" t="s">
        <v>874</v>
      </c>
      <c r="CH3" t="s">
        <v>874</v>
      </c>
      <c r="CM3" s="6" t="s">
        <v>868</v>
      </c>
      <c r="CN3" t="s">
        <v>874</v>
      </c>
    </row>
    <row r="4" spans="1:92" x14ac:dyDescent="0.35">
      <c r="A4" s="7" t="s">
        <v>869</v>
      </c>
      <c r="B4" s="8">
        <v>0.25666666666666665</v>
      </c>
      <c r="C4" s="4">
        <v>77</v>
      </c>
      <c r="H4" s="7" t="s">
        <v>885</v>
      </c>
      <c r="I4" s="9">
        <v>5.3333333333333337E-2</v>
      </c>
      <c r="S4" s="7" t="s">
        <v>60</v>
      </c>
      <c r="T4" s="9">
        <v>7.6666666666666661E-2</v>
      </c>
      <c r="AI4" s="7" t="s">
        <v>131</v>
      </c>
      <c r="AJ4" s="4">
        <v>734</v>
      </c>
      <c r="AK4" s="4">
        <v>802</v>
      </c>
      <c r="AL4" s="4">
        <v>78</v>
      </c>
      <c r="AM4" s="15">
        <f>GETPIVOTDATA("Sum of Sick_Days_2024",$AI$3,"Department","Finance")/GETPIVOTDATA("Count of Employee_ID",$AI$3,"Department","Finance")</f>
        <v>10.282051282051283</v>
      </c>
      <c r="AN4" s="15">
        <f>GETPIVOTDATA("Sum of Sick_Days_2023",$AI$3,"Department","Finance")/GETPIVOTDATA("Count of Employee_ID",$AI$3,"Department","Finance")</f>
        <v>9.4102564102564106</v>
      </c>
      <c r="AO4" s="7" t="s">
        <v>859</v>
      </c>
      <c r="AP4" s="8">
        <v>0.32</v>
      </c>
      <c r="AT4" t="s">
        <v>905</v>
      </c>
      <c r="AZ4" s="7" t="s">
        <v>35</v>
      </c>
      <c r="BA4" s="8">
        <v>0.51666666666666672</v>
      </c>
      <c r="BG4" s="7" t="s">
        <v>862</v>
      </c>
      <c r="BH4" s="8">
        <v>0.24</v>
      </c>
      <c r="BQ4" s="6" t="s">
        <v>868</v>
      </c>
      <c r="BR4" t="s">
        <v>60</v>
      </c>
      <c r="BS4" t="s">
        <v>28</v>
      </c>
      <c r="BT4" t="s">
        <v>70</v>
      </c>
      <c r="BU4" t="s">
        <v>38</v>
      </c>
      <c r="BV4" t="s">
        <v>873</v>
      </c>
      <c r="CB4" s="7" t="s">
        <v>924</v>
      </c>
      <c r="CC4" s="9">
        <v>0.25666666666666665</v>
      </c>
      <c r="CH4" s="4">
        <v>300</v>
      </c>
      <c r="CM4" s="7" t="s">
        <v>60</v>
      </c>
      <c r="CN4" s="4">
        <v>23</v>
      </c>
    </row>
    <row r="5" spans="1:92" x14ac:dyDescent="0.35">
      <c r="A5" s="7" t="s">
        <v>870</v>
      </c>
      <c r="B5" s="8">
        <v>0.48666666666666669</v>
      </c>
      <c r="C5" s="4">
        <v>146</v>
      </c>
      <c r="H5" s="7" t="s">
        <v>887</v>
      </c>
      <c r="I5" s="9">
        <v>0.82666666666666666</v>
      </c>
      <c r="J5" s="10">
        <f>GETPIVOTDATA("BP category",$H$3,"BP category","High Bp")</f>
        <v>0.82666666666666666</v>
      </c>
      <c r="S5" s="7" t="s">
        <v>28</v>
      </c>
      <c r="T5" s="9">
        <v>0.15333333333333332</v>
      </c>
      <c r="AI5" s="7" t="s">
        <v>161</v>
      </c>
      <c r="AJ5" s="4">
        <v>480</v>
      </c>
      <c r="AK5" s="4">
        <v>509</v>
      </c>
      <c r="AL5" s="4">
        <v>46</v>
      </c>
      <c r="AM5" s="15">
        <f>GETPIVOTDATA("Sum of Sick_Days_2024",$AI$3,"Department","HR")/GETPIVOTDATA("Count of Employee_ID",$AI$3,"Department","HR")</f>
        <v>11.065217391304348</v>
      </c>
      <c r="AN5" s="15">
        <f>GETPIVOTDATA("Sum of Sick_Days_2023",$AI$3,"Department","HR")/GETPIVOTDATA("Count of Employee_ID",$AI$3,"Department","HR")</f>
        <v>10.434782608695652</v>
      </c>
      <c r="AO5" s="7" t="s">
        <v>861</v>
      </c>
      <c r="AP5" s="8">
        <v>0.11</v>
      </c>
      <c r="AT5" s="4">
        <v>5.47</v>
      </c>
      <c r="AZ5" s="7" t="s">
        <v>25</v>
      </c>
      <c r="BA5" s="8">
        <v>0.48333333333333334</v>
      </c>
      <c r="BG5" s="7" t="s">
        <v>863</v>
      </c>
      <c r="BH5" s="8">
        <v>0.25666666666666665</v>
      </c>
      <c r="BQ5" s="7" t="s">
        <v>82</v>
      </c>
      <c r="BR5" s="4">
        <v>8</v>
      </c>
      <c r="BS5" s="4">
        <v>13</v>
      </c>
      <c r="BT5" s="4">
        <v>11</v>
      </c>
      <c r="BU5" s="4">
        <v>6</v>
      </c>
      <c r="BV5" s="4">
        <v>38</v>
      </c>
      <c r="CB5" s="7" t="s">
        <v>925</v>
      </c>
      <c r="CC5" s="9">
        <v>0.10666666666666667</v>
      </c>
      <c r="CH5">
        <f>GETPIVOTDATA("Employee_ID",$CH$3)</f>
        <v>300</v>
      </c>
      <c r="CM5" s="7" t="s">
        <v>28</v>
      </c>
      <c r="CN5" s="4">
        <v>46</v>
      </c>
    </row>
    <row r="6" spans="1:92" x14ac:dyDescent="0.35">
      <c r="A6" s="7" t="s">
        <v>871</v>
      </c>
      <c r="B6" s="8">
        <v>0.2</v>
      </c>
      <c r="C6" s="4">
        <v>60</v>
      </c>
      <c r="H6" s="7" t="s">
        <v>869</v>
      </c>
      <c r="I6" s="9">
        <v>0.12</v>
      </c>
      <c r="S6" s="7" t="s">
        <v>70</v>
      </c>
      <c r="T6" s="9">
        <v>0.22333333333333333</v>
      </c>
      <c r="AI6" s="7" t="s">
        <v>33</v>
      </c>
      <c r="AJ6" s="4">
        <v>610</v>
      </c>
      <c r="AK6" s="4">
        <v>549</v>
      </c>
      <c r="AL6" s="4">
        <v>62</v>
      </c>
      <c r="AM6" s="15">
        <f>GETPIVOTDATA("Sum of Sick_Days_2024",$AI$3,"Department","IT")/GETPIVOTDATA("Count of Employee_ID",$AI$3,"Department","IT")</f>
        <v>8.8548387096774199</v>
      </c>
      <c r="AN6" s="15">
        <f>GETPIVOTDATA("Sum of Sick_Days_2023",$AI$3,"Department","IT")/GETPIVOTDATA("Count of Employee_ID",$AI$3,"Department","IT")</f>
        <v>9.8387096774193541</v>
      </c>
      <c r="AO6" s="7" t="s">
        <v>860</v>
      </c>
      <c r="AP6" s="8">
        <v>0.45333333333333331</v>
      </c>
      <c r="AZ6" s="7" t="s">
        <v>873</v>
      </c>
      <c r="BA6" s="8">
        <v>1</v>
      </c>
      <c r="BG6" s="7" t="s">
        <v>864</v>
      </c>
      <c r="BH6" s="8">
        <v>0.21666666666666667</v>
      </c>
      <c r="BQ6" s="7" t="s">
        <v>66</v>
      </c>
      <c r="BR6" s="4">
        <v>1</v>
      </c>
      <c r="BS6" s="4">
        <v>1</v>
      </c>
      <c r="BT6" s="4">
        <v>3</v>
      </c>
      <c r="BU6" s="4">
        <v>2</v>
      </c>
      <c r="BV6" s="4">
        <v>7</v>
      </c>
      <c r="CB6" s="7" t="s">
        <v>926</v>
      </c>
      <c r="CC6" s="9">
        <v>0.63666666666666671</v>
      </c>
      <c r="CH6" t="s">
        <v>933</v>
      </c>
      <c r="CM6" s="7" t="s">
        <v>70</v>
      </c>
      <c r="CN6" s="4">
        <v>67</v>
      </c>
    </row>
    <row r="7" spans="1:92" x14ac:dyDescent="0.35">
      <c r="A7" s="7" t="s">
        <v>872</v>
      </c>
      <c r="B7" s="8">
        <v>5.6666666666666664E-2</v>
      </c>
      <c r="C7" s="4">
        <v>17</v>
      </c>
      <c r="H7" s="7" t="s">
        <v>873</v>
      </c>
      <c r="I7" s="8">
        <v>1</v>
      </c>
      <c r="S7" s="7" t="s">
        <v>78</v>
      </c>
      <c r="T7" s="9">
        <v>0.45</v>
      </c>
      <c r="AI7" s="7" t="s">
        <v>65</v>
      </c>
      <c r="AJ7" s="4">
        <v>317</v>
      </c>
      <c r="AK7" s="4">
        <v>396</v>
      </c>
      <c r="AL7" s="4">
        <v>37</v>
      </c>
      <c r="AM7" s="15">
        <f>GETPIVOTDATA("Sum of Sick_Days_2024",$AI$3,"Department","Legal")/GETPIVOTDATA("Count of Employee_ID",$AI$3,"Department","Legal")</f>
        <v>10.702702702702704</v>
      </c>
      <c r="AN7" s="15">
        <f>GETPIVOTDATA("Sum of Sick_Days_2023",$AI$3,"Department","Legal")/GETPIVOTDATA("Count of Employee_ID",$AI$3,"Department","Legal")</f>
        <v>8.5675675675675684</v>
      </c>
      <c r="AO7" s="7" t="s">
        <v>100</v>
      </c>
      <c r="AP7" s="8">
        <v>0.11666666666666667</v>
      </c>
      <c r="BA7" s="10">
        <f>GETPIVOTDATA("Employee_ID",$AZ$3,"Health_Insurance","No")</f>
        <v>0.51666666666666672</v>
      </c>
      <c r="BG7" s="7" t="s">
        <v>100</v>
      </c>
      <c r="BH7" s="8">
        <v>0.28666666666666668</v>
      </c>
      <c r="BQ7" s="7" t="s">
        <v>52</v>
      </c>
      <c r="BR7" s="4">
        <v>1</v>
      </c>
      <c r="BS7" s="4">
        <v>3</v>
      </c>
      <c r="BT7" s="4">
        <v>10</v>
      </c>
      <c r="BU7" s="4">
        <v>3</v>
      </c>
      <c r="BV7" s="4">
        <v>17</v>
      </c>
      <c r="CB7" s="7" t="s">
        <v>873</v>
      </c>
      <c r="CC7" s="8">
        <v>1</v>
      </c>
      <c r="CH7" t="s">
        <v>874</v>
      </c>
      <c r="CI7" t="s">
        <v>892</v>
      </c>
      <c r="CJ7" t="s">
        <v>891</v>
      </c>
      <c r="CM7" s="7" t="s">
        <v>78</v>
      </c>
      <c r="CN7" s="4">
        <v>135</v>
      </c>
    </row>
    <row r="8" spans="1:92" x14ac:dyDescent="0.35">
      <c r="A8" s="7" t="s">
        <v>873</v>
      </c>
      <c r="B8" s="8">
        <v>1</v>
      </c>
      <c r="C8" s="4">
        <v>300</v>
      </c>
      <c r="S8" s="7" t="s">
        <v>38</v>
      </c>
      <c r="T8" s="9">
        <v>9.6666666666666665E-2</v>
      </c>
      <c r="AI8" s="7" t="s">
        <v>127</v>
      </c>
      <c r="AJ8" s="4">
        <v>200</v>
      </c>
      <c r="AK8" s="4">
        <v>220</v>
      </c>
      <c r="AL8" s="4">
        <v>21</v>
      </c>
      <c r="AM8" s="15">
        <f>GETPIVOTDATA("Sum of Sick_Days_2024",$AI$3,"Department","Marketing")/GETPIVOTDATA("Count of Employee_ID",$AI$3,"Department","Marketing")</f>
        <v>10.476190476190476</v>
      </c>
      <c r="AN8" s="15">
        <f>GETPIVOTDATA("Sum of Sick_Days_2023",$AI$3,"Department","Marketing")/GETPIVOTDATA("Count of Employee_ID",$AI$3,"Department","Marketing")</f>
        <v>9.5238095238095237</v>
      </c>
      <c r="AO8" s="7" t="s">
        <v>873</v>
      </c>
      <c r="AP8" s="8">
        <v>1</v>
      </c>
      <c r="BG8" s="7" t="s">
        <v>873</v>
      </c>
      <c r="BH8" s="8">
        <v>1</v>
      </c>
      <c r="BQ8" s="7" t="s">
        <v>117</v>
      </c>
      <c r="BR8" s="4">
        <v>6</v>
      </c>
      <c r="BS8" s="4">
        <v>4</v>
      </c>
      <c r="BT8" s="4">
        <v>16</v>
      </c>
      <c r="BU8" s="4">
        <v>6</v>
      </c>
      <c r="BV8" s="4">
        <v>32</v>
      </c>
      <c r="CH8" s="4">
        <v>300</v>
      </c>
      <c r="CI8" s="4">
        <v>3021</v>
      </c>
      <c r="CJ8" s="4">
        <v>2917</v>
      </c>
      <c r="CM8" s="7" t="s">
        <v>38</v>
      </c>
      <c r="CN8" s="4">
        <v>29</v>
      </c>
    </row>
    <row r="9" spans="1:92" x14ac:dyDescent="0.35">
      <c r="S9" s="7" t="s">
        <v>873</v>
      </c>
      <c r="T9" s="8">
        <v>1</v>
      </c>
      <c r="AI9" s="7" t="s">
        <v>23</v>
      </c>
      <c r="AJ9" s="4">
        <v>264</v>
      </c>
      <c r="AK9" s="4">
        <v>243</v>
      </c>
      <c r="AL9" s="4">
        <v>26</v>
      </c>
      <c r="AM9" s="15">
        <f>GETPIVOTDATA("Sum of Sick_Days_2024",$AI$3,"Department","Operations")/GETPIVOTDATA("Count of Employee_ID",$AI$3,"Department","Operations")</f>
        <v>9.3461538461538467</v>
      </c>
      <c r="AN9" s="15">
        <f>GETPIVOTDATA("Sum of Sick_Days_2023",$AI$3,"Department","Operations")/GETPIVOTDATA("Count of Employee_ID",$AI$3,"Department","Operations")</f>
        <v>10.153846153846153</v>
      </c>
      <c r="BG9" s="7" t="s">
        <v>912</v>
      </c>
      <c r="BQ9" s="7" t="s">
        <v>57</v>
      </c>
      <c r="BR9" s="4">
        <v>3</v>
      </c>
      <c r="BS9" s="4">
        <v>6</v>
      </c>
      <c r="BT9" s="4">
        <v>2</v>
      </c>
      <c r="BU9" s="4">
        <v>2</v>
      </c>
      <c r="BV9" s="4">
        <v>13</v>
      </c>
      <c r="CH9" s="15">
        <f>GETPIVOTDATA("Sum of Sick_Days_2024",$CH$7)/GETPIVOTDATA("Count of Employee_ID",$CH$7)</f>
        <v>10.07</v>
      </c>
      <c r="CM9" s="7" t="s">
        <v>873</v>
      </c>
      <c r="CN9" s="4">
        <v>300</v>
      </c>
    </row>
    <row r="10" spans="1:92" x14ac:dyDescent="0.35">
      <c r="AI10" s="7" t="s">
        <v>74</v>
      </c>
      <c r="AJ10" s="4">
        <v>312</v>
      </c>
      <c r="AK10" s="4">
        <v>302</v>
      </c>
      <c r="AL10" s="4">
        <v>30</v>
      </c>
      <c r="AM10" s="15">
        <f>GETPIVOTDATA("Sum of Sick_Days_2024",$AI$3,"Department","Sales")/GETPIVOTDATA("Count of Employee_ID",$AI$3,"Department","Sales")</f>
        <v>10.066666666666666</v>
      </c>
      <c r="AN10" s="15">
        <f>GETPIVOTDATA("Sum of Sick_Days_2023",$AI$3,"Department","Sales")/GETPIVOTDATA("Count of Employee_ID",$AI$3,"Department","Sales")</f>
        <v>10.4</v>
      </c>
      <c r="BQ10" s="7" t="s">
        <v>75</v>
      </c>
      <c r="BR10" s="4">
        <v>1</v>
      </c>
      <c r="BS10" s="4">
        <v>8</v>
      </c>
      <c r="BT10" s="4">
        <v>9</v>
      </c>
      <c r="BU10" s="4">
        <v>1</v>
      </c>
      <c r="BV10" s="4">
        <v>19</v>
      </c>
      <c r="CB10" s="7" t="s">
        <v>928</v>
      </c>
    </row>
    <row r="11" spans="1:92" x14ac:dyDescent="0.35">
      <c r="AI11" s="7" t="s">
        <v>873</v>
      </c>
      <c r="AJ11" s="4">
        <v>2917</v>
      </c>
      <c r="AK11" s="4">
        <v>3021</v>
      </c>
      <c r="AL11" s="4">
        <v>300</v>
      </c>
      <c r="AZ11" t="s">
        <v>910</v>
      </c>
      <c r="BG11" s="7" t="s">
        <v>913</v>
      </c>
      <c r="BQ11" s="7" t="s">
        <v>24</v>
      </c>
      <c r="BR11" s="4">
        <v>3</v>
      </c>
      <c r="BS11" s="4">
        <v>11</v>
      </c>
      <c r="BT11" s="4">
        <v>16</v>
      </c>
      <c r="BU11" s="4">
        <v>9</v>
      </c>
      <c r="BV11" s="4">
        <v>39</v>
      </c>
      <c r="CB11" s="6" t="s">
        <v>868</v>
      </c>
      <c r="CC11" t="s">
        <v>892</v>
      </c>
      <c r="CD11" t="s">
        <v>891</v>
      </c>
      <c r="CE11" t="s">
        <v>874</v>
      </c>
      <c r="CH11" t="s">
        <v>935</v>
      </c>
    </row>
    <row r="12" spans="1:92" x14ac:dyDescent="0.35">
      <c r="AO12" t="s">
        <v>901</v>
      </c>
      <c r="AT12" t="s">
        <v>907</v>
      </c>
      <c r="AZ12" s="6" t="s">
        <v>868</v>
      </c>
      <c r="BG12" s="6" t="s">
        <v>874</v>
      </c>
      <c r="BH12" s="6" t="s">
        <v>877</v>
      </c>
      <c r="BQ12" s="7" t="s">
        <v>873</v>
      </c>
      <c r="BR12" s="4">
        <v>23</v>
      </c>
      <c r="BS12" s="4">
        <v>46</v>
      </c>
      <c r="BT12" s="4">
        <v>67</v>
      </c>
      <c r="BU12" s="4">
        <v>29</v>
      </c>
      <c r="BV12" s="4">
        <v>165</v>
      </c>
      <c r="CB12" s="7" t="s">
        <v>924</v>
      </c>
      <c r="CC12" s="4">
        <v>745</v>
      </c>
      <c r="CD12" s="4">
        <v>794</v>
      </c>
      <c r="CE12" s="4">
        <v>77</v>
      </c>
      <c r="CH12" s="6" t="s">
        <v>868</v>
      </c>
      <c r="CI12" t="s">
        <v>874</v>
      </c>
    </row>
    <row r="13" spans="1:92" x14ac:dyDescent="0.35">
      <c r="H13" t="s">
        <v>888</v>
      </c>
      <c r="AO13" s="6" t="s">
        <v>868</v>
      </c>
      <c r="AP13" t="s">
        <v>899</v>
      </c>
      <c r="AT13" s="6" t="s">
        <v>868</v>
      </c>
      <c r="AU13" t="s">
        <v>904</v>
      </c>
      <c r="AZ13" s="7" t="s">
        <v>54</v>
      </c>
      <c r="BG13" s="6" t="s">
        <v>868</v>
      </c>
      <c r="BH13" t="s">
        <v>862</v>
      </c>
      <c r="BI13" t="s">
        <v>863</v>
      </c>
      <c r="BJ13" t="s">
        <v>864</v>
      </c>
      <c r="BK13" t="s">
        <v>100</v>
      </c>
      <c r="BL13" t="s">
        <v>873</v>
      </c>
      <c r="BQ13" s="7" t="str">
        <f>BQ11</f>
        <v>Rivers</v>
      </c>
      <c r="CB13" s="7" t="s">
        <v>925</v>
      </c>
      <c r="CC13" s="4">
        <v>269</v>
      </c>
      <c r="CD13" s="4">
        <v>320</v>
      </c>
      <c r="CE13" s="4">
        <v>32</v>
      </c>
      <c r="CH13" s="7" t="s">
        <v>924</v>
      </c>
      <c r="CI13" s="8">
        <v>0.25666666666666665</v>
      </c>
    </row>
    <row r="14" spans="1:92" x14ac:dyDescent="0.35">
      <c r="A14" t="s">
        <v>882</v>
      </c>
      <c r="H14" s="6" t="s">
        <v>886</v>
      </c>
      <c r="I14" s="6" t="s">
        <v>877</v>
      </c>
      <c r="AO14" s="7" t="s">
        <v>859</v>
      </c>
      <c r="AP14" s="4">
        <v>96</v>
      </c>
      <c r="AT14" s="7" t="s">
        <v>23</v>
      </c>
      <c r="AU14" s="4">
        <v>127</v>
      </c>
      <c r="AZ14" s="14" t="s">
        <v>326</v>
      </c>
      <c r="BG14" s="7" t="s">
        <v>131</v>
      </c>
      <c r="BH14" s="4">
        <v>16</v>
      </c>
      <c r="BI14" s="4">
        <v>22</v>
      </c>
      <c r="BJ14" s="4">
        <v>17</v>
      </c>
      <c r="BK14" s="4">
        <v>23</v>
      </c>
      <c r="BL14" s="4">
        <v>78</v>
      </c>
      <c r="CB14" s="7" t="s">
        <v>926</v>
      </c>
      <c r="CC14" s="4">
        <v>2007</v>
      </c>
      <c r="CD14" s="4">
        <v>1803</v>
      </c>
      <c r="CE14" s="4">
        <v>191</v>
      </c>
      <c r="CH14" s="7" t="s">
        <v>925</v>
      </c>
      <c r="CI14" s="8">
        <v>0.10666666666666667</v>
      </c>
    </row>
    <row r="15" spans="1:92" x14ac:dyDescent="0.35">
      <c r="A15" s="6" t="s">
        <v>866</v>
      </c>
      <c r="B15" s="6" t="s">
        <v>877</v>
      </c>
      <c r="H15" s="6" t="s">
        <v>868</v>
      </c>
      <c r="I15" t="s">
        <v>878</v>
      </c>
      <c r="J15" t="s">
        <v>879</v>
      </c>
      <c r="K15" t="s">
        <v>880</v>
      </c>
      <c r="L15" t="s">
        <v>881</v>
      </c>
      <c r="M15" t="s">
        <v>873</v>
      </c>
      <c r="AI15" t="s">
        <v>896</v>
      </c>
      <c r="AO15" s="7" t="s">
        <v>861</v>
      </c>
      <c r="AP15" s="4">
        <v>33</v>
      </c>
      <c r="AT15" s="7" t="s">
        <v>873</v>
      </c>
      <c r="AU15" s="4">
        <v>127</v>
      </c>
      <c r="AZ15" s="14" t="s">
        <v>406</v>
      </c>
      <c r="BG15" s="7" t="s">
        <v>161</v>
      </c>
      <c r="BH15" s="4">
        <v>12</v>
      </c>
      <c r="BI15" s="4">
        <v>8</v>
      </c>
      <c r="BJ15" s="4">
        <v>11</v>
      </c>
      <c r="BK15" s="4">
        <v>15</v>
      </c>
      <c r="BL15" s="4">
        <v>46</v>
      </c>
      <c r="CB15" s="7" t="s">
        <v>873</v>
      </c>
      <c r="CC15" s="4">
        <v>3021</v>
      </c>
      <c r="CD15" s="4">
        <v>2917</v>
      </c>
      <c r="CE15" s="4">
        <v>300</v>
      </c>
      <c r="CH15" s="7" t="s">
        <v>926</v>
      </c>
      <c r="CI15" s="8">
        <v>0.63666666666666671</v>
      </c>
    </row>
    <row r="16" spans="1:92" x14ac:dyDescent="0.35">
      <c r="A16" s="6" t="s">
        <v>868</v>
      </c>
      <c r="B16" t="s">
        <v>73</v>
      </c>
      <c r="C16" t="s">
        <v>32</v>
      </c>
      <c r="D16" t="s">
        <v>873</v>
      </c>
      <c r="H16" s="7" t="s">
        <v>131</v>
      </c>
      <c r="I16" s="4">
        <v>19</v>
      </c>
      <c r="J16" s="4">
        <v>27</v>
      </c>
      <c r="K16" s="4">
        <v>14</v>
      </c>
      <c r="L16" s="4">
        <v>18</v>
      </c>
      <c r="M16" s="4">
        <v>78</v>
      </c>
      <c r="AI16" s="6" t="s">
        <v>868</v>
      </c>
      <c r="AJ16" t="s">
        <v>894</v>
      </c>
      <c r="AK16" t="s">
        <v>895</v>
      </c>
      <c r="AO16" s="7" t="s">
        <v>860</v>
      </c>
      <c r="AP16" s="4">
        <v>136</v>
      </c>
      <c r="AZ16" s="14" t="s">
        <v>485</v>
      </c>
      <c r="BG16" s="7" t="s">
        <v>33</v>
      </c>
      <c r="BH16" s="4">
        <v>11</v>
      </c>
      <c r="BI16" s="4">
        <v>20</v>
      </c>
      <c r="BJ16" s="4">
        <v>14</v>
      </c>
      <c r="BK16" s="4">
        <v>17</v>
      </c>
      <c r="BL16" s="4">
        <v>62</v>
      </c>
      <c r="CA16" t="s">
        <v>938</v>
      </c>
      <c r="CB16" s="9"/>
      <c r="CC16" s="10" t="s">
        <v>937</v>
      </c>
      <c r="CH16" s="7" t="s">
        <v>873</v>
      </c>
      <c r="CI16" s="8">
        <v>1</v>
      </c>
    </row>
    <row r="17" spans="1:87" x14ac:dyDescent="0.35">
      <c r="A17" s="7" t="s">
        <v>878</v>
      </c>
      <c r="B17" s="8">
        <v>0.24050632911392406</v>
      </c>
      <c r="C17" s="8">
        <v>0.176056338028169</v>
      </c>
      <c r="D17" s="8">
        <v>0.21</v>
      </c>
      <c r="H17" s="14" t="s">
        <v>885</v>
      </c>
      <c r="I17" s="4">
        <v>4</v>
      </c>
      <c r="J17" s="4">
        <v>1</v>
      </c>
      <c r="K17" s="4"/>
      <c r="L17" s="4">
        <v>1</v>
      </c>
      <c r="M17" s="4">
        <v>6</v>
      </c>
      <c r="S17" t="s">
        <v>890</v>
      </c>
      <c r="AI17" s="7" t="s">
        <v>60</v>
      </c>
      <c r="AJ17" s="4">
        <v>9.3913043478260878</v>
      </c>
      <c r="AK17" s="4">
        <v>10.434782608695652</v>
      </c>
      <c r="AO17" s="7" t="s">
        <v>100</v>
      </c>
      <c r="AP17" s="4">
        <v>35</v>
      </c>
      <c r="AZ17" s="14" t="s">
        <v>641</v>
      </c>
      <c r="BG17" s="7" t="s">
        <v>65</v>
      </c>
      <c r="BH17" s="4">
        <v>14</v>
      </c>
      <c r="BI17" s="4">
        <v>5</v>
      </c>
      <c r="BJ17" s="4">
        <v>6</v>
      </c>
      <c r="BK17" s="4">
        <v>12</v>
      </c>
      <c r="BL17" s="4">
        <v>37</v>
      </c>
      <c r="BQ17" t="s">
        <v>922</v>
      </c>
      <c r="CA17" t="s">
        <v>939</v>
      </c>
      <c r="CB17" s="4">
        <v>2024</v>
      </c>
      <c r="CC17" s="17">
        <v>2023</v>
      </c>
      <c r="CH17" s="10">
        <f>GETPIVOTDATA("Employee_ID",$CH$12,"Column1","High risk")</f>
        <v>0.25666666666666665</v>
      </c>
    </row>
    <row r="18" spans="1:87" x14ac:dyDescent="0.35">
      <c r="A18" s="7" t="s">
        <v>879</v>
      </c>
      <c r="B18" s="8">
        <v>0.25316455696202533</v>
      </c>
      <c r="C18" s="8">
        <v>0.36619718309859156</v>
      </c>
      <c r="D18" s="8">
        <v>0.30666666666666664</v>
      </c>
      <c r="H18" s="14" t="s">
        <v>887</v>
      </c>
      <c r="I18" s="4">
        <v>13</v>
      </c>
      <c r="J18" s="4">
        <v>23</v>
      </c>
      <c r="K18" s="4">
        <v>11</v>
      </c>
      <c r="L18" s="4">
        <v>17</v>
      </c>
      <c r="M18" s="4">
        <v>64</v>
      </c>
      <c r="S18" s="6" t="s">
        <v>886</v>
      </c>
      <c r="T18" s="6" t="s">
        <v>877</v>
      </c>
      <c r="AI18" s="7" t="s">
        <v>28</v>
      </c>
      <c r="AJ18" s="4">
        <v>8.2826086956521738</v>
      </c>
      <c r="AK18" s="4">
        <v>9.9782608695652169</v>
      </c>
      <c r="AO18" s="7" t="s">
        <v>873</v>
      </c>
      <c r="AP18" s="4">
        <v>300</v>
      </c>
      <c r="AZ18" s="14" t="s">
        <v>716</v>
      </c>
      <c r="BG18" s="7" t="s">
        <v>127</v>
      </c>
      <c r="BH18" s="4">
        <v>2</v>
      </c>
      <c r="BI18" s="4">
        <v>7</v>
      </c>
      <c r="BJ18" s="4">
        <v>6</v>
      </c>
      <c r="BK18" s="4">
        <v>6</v>
      </c>
      <c r="BL18" s="4">
        <v>21</v>
      </c>
      <c r="BQ18" s="6" t="s">
        <v>868</v>
      </c>
      <c r="BR18" t="s">
        <v>921</v>
      </c>
      <c r="BS18" t="s">
        <v>943</v>
      </c>
      <c r="CA18" t="s">
        <v>929</v>
      </c>
      <c r="CB18" s="11">
        <f>GETPIVOTDATA("Sum of Sick_Days_2024",$CB$11,"Column1","High risk")/GETPIVOTDATA("Count of Employee_ID",$CB$11,"Column1","High risk")</f>
        <v>9.675324675324676</v>
      </c>
      <c r="CC18" s="15">
        <f>GETPIVOTDATA("Sum of Sick_Days_2023",$CB$11,"Column1","High risk")/GETPIVOTDATA("Count of Employee_ID",$CB$11,"Column1","High risk")</f>
        <v>10.311688311688311</v>
      </c>
    </row>
    <row r="19" spans="1:87" x14ac:dyDescent="0.35">
      <c r="A19" s="7" t="s">
        <v>880</v>
      </c>
      <c r="B19" s="8">
        <v>0.29746835443037972</v>
      </c>
      <c r="C19" s="8">
        <v>0.19014084507042253</v>
      </c>
      <c r="D19" s="8">
        <v>0.24666666666666667</v>
      </c>
      <c r="H19" s="14" t="s">
        <v>869</v>
      </c>
      <c r="I19" s="4">
        <v>2</v>
      </c>
      <c r="J19" s="4">
        <v>3</v>
      </c>
      <c r="K19" s="4">
        <v>3</v>
      </c>
      <c r="L19" s="4"/>
      <c r="M19" s="4">
        <v>8</v>
      </c>
      <c r="S19" s="6" t="s">
        <v>868</v>
      </c>
      <c r="T19" t="s">
        <v>82</v>
      </c>
      <c r="U19" t="s">
        <v>66</v>
      </c>
      <c r="V19" t="s">
        <v>52</v>
      </c>
      <c r="W19" t="s">
        <v>117</v>
      </c>
      <c r="X19" t="s">
        <v>57</v>
      </c>
      <c r="Y19" t="s">
        <v>75</v>
      </c>
      <c r="Z19" t="s">
        <v>24</v>
      </c>
      <c r="AA19" t="s">
        <v>873</v>
      </c>
      <c r="AI19" s="7" t="s">
        <v>70</v>
      </c>
      <c r="AJ19" s="4">
        <v>10.149253731343284</v>
      </c>
      <c r="AK19" s="4">
        <v>9.8059701492537314</v>
      </c>
      <c r="AZ19" s="14" t="s">
        <v>786</v>
      </c>
      <c r="BG19" s="7" t="s">
        <v>23</v>
      </c>
      <c r="BH19" s="4">
        <v>10</v>
      </c>
      <c r="BI19" s="4">
        <v>6</v>
      </c>
      <c r="BJ19" s="4">
        <v>5</v>
      </c>
      <c r="BK19" s="4">
        <v>5</v>
      </c>
      <c r="BL19" s="4">
        <v>26</v>
      </c>
      <c r="BQ19" s="7" t="s">
        <v>131</v>
      </c>
      <c r="BR19" s="4">
        <v>204</v>
      </c>
      <c r="BS19">
        <v>2.6153846153846154</v>
      </c>
      <c r="CA19" t="s">
        <v>930</v>
      </c>
      <c r="CB19" s="11">
        <f>GETPIVOTDATA("Sum of Sick_Days_2024",$CB$11,"Column1","Medium risk")/GETPIVOTDATA("Count of Employee_ID",$CB$11,"Column1","Medium risk")</f>
        <v>10.507853403141361</v>
      </c>
      <c r="CC19">
        <f>GETPIVOTDATA("Sum of Sick_Days_2023",$CB$11,"Column1","Low risk")/GETPIVOTDATA("Count of Employee_ID",$CB$11,"Column1","Low risk")</f>
        <v>10</v>
      </c>
      <c r="CH19" s="7" t="s">
        <v>936</v>
      </c>
    </row>
    <row r="20" spans="1:87" x14ac:dyDescent="0.35">
      <c r="A20" s="7" t="s">
        <v>881</v>
      </c>
      <c r="B20" s="8">
        <v>0.20886075949367089</v>
      </c>
      <c r="C20" s="8">
        <v>0.26760563380281688</v>
      </c>
      <c r="D20" s="8">
        <v>0.23666666666666666</v>
      </c>
      <c r="H20" s="7" t="s">
        <v>161</v>
      </c>
      <c r="I20" s="4">
        <v>10</v>
      </c>
      <c r="J20" s="4">
        <v>9</v>
      </c>
      <c r="K20" s="4">
        <v>10</v>
      </c>
      <c r="L20" s="4">
        <v>17</v>
      </c>
      <c r="M20" s="4">
        <v>46</v>
      </c>
      <c r="S20" s="7" t="s">
        <v>131</v>
      </c>
      <c r="T20" s="4">
        <v>17</v>
      </c>
      <c r="U20" s="4">
        <v>1</v>
      </c>
      <c r="V20" s="4">
        <v>9</v>
      </c>
      <c r="W20" s="4">
        <v>22</v>
      </c>
      <c r="X20" s="4">
        <v>10</v>
      </c>
      <c r="Y20" s="4">
        <v>8</v>
      </c>
      <c r="Z20" s="4">
        <v>11</v>
      </c>
      <c r="AA20" s="4">
        <v>78</v>
      </c>
      <c r="AI20" s="7" t="s">
        <v>78</v>
      </c>
      <c r="AJ20" s="4">
        <v>10.162962962962963</v>
      </c>
      <c r="AK20" s="4">
        <v>10.274074074074074</v>
      </c>
      <c r="AZ20" s="7" t="s">
        <v>873</v>
      </c>
      <c r="BG20" s="7" t="s">
        <v>74</v>
      </c>
      <c r="BH20" s="4">
        <v>7</v>
      </c>
      <c r="BI20" s="4">
        <v>9</v>
      </c>
      <c r="BJ20" s="4">
        <v>6</v>
      </c>
      <c r="BK20" s="4">
        <v>8</v>
      </c>
      <c r="BL20" s="4">
        <v>30</v>
      </c>
      <c r="BQ20" s="7" t="s">
        <v>161</v>
      </c>
      <c r="BR20" s="4">
        <v>137</v>
      </c>
      <c r="BS20">
        <v>2.9782608695652173</v>
      </c>
      <c r="CA20" t="s">
        <v>931</v>
      </c>
      <c r="CB20" s="15">
        <f>GETPIVOTDATA("Sum of Sick_Days_2024",$CB$11,"Column1","Low risk")/GETPIVOTDATA("Count of Employee_ID",$CB$11,"Column1","Low risk")</f>
        <v>8.40625</v>
      </c>
      <c r="CC20" s="15">
        <f>GETPIVOTDATA("Sum of Sick_Days_2023",$CB$11,"Column1","Medium risk")/GETPIVOTDATA("Count of Employee_ID",$CB$11,"Column1","Medium risk")</f>
        <v>9.4397905759162306</v>
      </c>
      <c r="CH20" s="6" t="s">
        <v>868</v>
      </c>
      <c r="CI20" t="s">
        <v>874</v>
      </c>
    </row>
    <row r="21" spans="1:87" x14ac:dyDescent="0.35">
      <c r="A21" s="7" t="s">
        <v>873</v>
      </c>
      <c r="B21" s="8">
        <v>1</v>
      </c>
      <c r="C21" s="8">
        <v>1</v>
      </c>
      <c r="D21" s="8">
        <v>1</v>
      </c>
      <c r="H21" s="14" t="s">
        <v>887</v>
      </c>
      <c r="I21" s="4">
        <v>9</v>
      </c>
      <c r="J21" s="4">
        <v>9</v>
      </c>
      <c r="K21" s="4">
        <v>7</v>
      </c>
      <c r="L21" s="4">
        <v>17</v>
      </c>
      <c r="M21" s="4">
        <v>42</v>
      </c>
      <c r="S21" s="7" t="s">
        <v>161</v>
      </c>
      <c r="T21" s="4">
        <v>13</v>
      </c>
      <c r="U21" s="4">
        <v>3</v>
      </c>
      <c r="V21" s="4">
        <v>5</v>
      </c>
      <c r="W21" s="4">
        <v>5</v>
      </c>
      <c r="X21" s="4">
        <v>6</v>
      </c>
      <c r="Y21" s="4">
        <v>5</v>
      </c>
      <c r="Z21" s="4">
        <v>9</v>
      </c>
      <c r="AA21" s="4">
        <v>46</v>
      </c>
      <c r="AI21" s="7" t="s">
        <v>38</v>
      </c>
      <c r="AJ21" s="4">
        <v>9.2413793103448274</v>
      </c>
      <c r="AK21" s="4">
        <v>9.5862068965517242</v>
      </c>
      <c r="AO21" s="7" t="s">
        <v>902</v>
      </c>
      <c r="AT21" t="s">
        <v>908</v>
      </c>
      <c r="BG21" s="7" t="s">
        <v>873</v>
      </c>
      <c r="BH21" s="4">
        <v>72</v>
      </c>
      <c r="BI21" s="4">
        <v>77</v>
      </c>
      <c r="BJ21" s="4">
        <v>65</v>
      </c>
      <c r="BK21" s="4">
        <v>86</v>
      </c>
      <c r="BL21" s="4">
        <v>300</v>
      </c>
      <c r="BQ21" s="7" t="s">
        <v>33</v>
      </c>
      <c r="BR21" s="4">
        <v>183</v>
      </c>
      <c r="BS21">
        <v>2.9516129032258065</v>
      </c>
      <c r="CH21" s="7" t="s">
        <v>862</v>
      </c>
      <c r="CI21" s="8">
        <v>0.24</v>
      </c>
    </row>
    <row r="22" spans="1:87" x14ac:dyDescent="0.35">
      <c r="H22" s="14" t="s">
        <v>869</v>
      </c>
      <c r="I22" s="4">
        <v>1</v>
      </c>
      <c r="J22" s="4"/>
      <c r="K22" s="4">
        <v>3</v>
      </c>
      <c r="L22" s="4"/>
      <c r="M22" s="4">
        <v>4</v>
      </c>
      <c r="S22" s="7" t="s">
        <v>33</v>
      </c>
      <c r="T22" s="4">
        <v>8</v>
      </c>
      <c r="U22" s="4">
        <v>3</v>
      </c>
      <c r="V22" s="4">
        <v>4</v>
      </c>
      <c r="W22" s="4">
        <v>13</v>
      </c>
      <c r="X22" s="4">
        <v>7</v>
      </c>
      <c r="Y22" s="4">
        <v>6</v>
      </c>
      <c r="Z22" s="4">
        <v>21</v>
      </c>
      <c r="AA22" s="4">
        <v>62</v>
      </c>
      <c r="AI22" s="7" t="s">
        <v>873</v>
      </c>
      <c r="AJ22" s="4">
        <v>9.7233333333333327</v>
      </c>
      <c r="AK22" s="4">
        <v>10.07</v>
      </c>
      <c r="AO22" s="6" t="s">
        <v>868</v>
      </c>
      <c r="AP22" t="s">
        <v>874</v>
      </c>
      <c r="AT22" s="6" t="s">
        <v>868</v>
      </c>
      <c r="AU22" t="s">
        <v>891</v>
      </c>
      <c r="AV22" t="s">
        <v>892</v>
      </c>
      <c r="BG22" s="7" t="s">
        <v>127</v>
      </c>
      <c r="BQ22" s="7" t="s">
        <v>65</v>
      </c>
      <c r="BR22" s="4">
        <v>98</v>
      </c>
      <c r="BS22">
        <v>2.6486486486486487</v>
      </c>
      <c r="CH22" s="7" t="s">
        <v>863</v>
      </c>
      <c r="CI22" s="8">
        <v>0.25666666666666665</v>
      </c>
    </row>
    <row r="23" spans="1:87" x14ac:dyDescent="0.35">
      <c r="H23" s="7" t="s">
        <v>33</v>
      </c>
      <c r="I23" s="4">
        <v>14</v>
      </c>
      <c r="J23" s="4">
        <v>15</v>
      </c>
      <c r="K23" s="4">
        <v>21</v>
      </c>
      <c r="L23" s="4">
        <v>12</v>
      </c>
      <c r="M23" s="4">
        <v>62</v>
      </c>
      <c r="S23" s="7" t="s">
        <v>65</v>
      </c>
      <c r="T23" s="4">
        <v>9</v>
      </c>
      <c r="U23" s="4">
        <v>4</v>
      </c>
      <c r="V23" s="4">
        <v>2</v>
      </c>
      <c r="W23" s="4">
        <v>1</v>
      </c>
      <c r="X23" s="4">
        <v>3</v>
      </c>
      <c r="Y23" s="4">
        <v>9</v>
      </c>
      <c r="Z23" s="4">
        <v>9</v>
      </c>
      <c r="AA23" s="4">
        <v>37</v>
      </c>
      <c r="AO23" s="7">
        <v>0</v>
      </c>
      <c r="AP23" s="8">
        <v>0.26</v>
      </c>
      <c r="AT23" s="7">
        <v>0</v>
      </c>
      <c r="AU23" s="4">
        <v>71</v>
      </c>
      <c r="AV23" s="4">
        <v>51</v>
      </c>
      <c r="BQ23" s="7" t="s">
        <v>127</v>
      </c>
      <c r="BR23" s="4">
        <v>53</v>
      </c>
      <c r="BS23">
        <v>2.5238095238095237</v>
      </c>
      <c r="CH23" s="7" t="s">
        <v>864</v>
      </c>
      <c r="CI23" s="8">
        <v>0.21666666666666667</v>
      </c>
    </row>
    <row r="24" spans="1:87" x14ac:dyDescent="0.35">
      <c r="H24" s="14" t="s">
        <v>885</v>
      </c>
      <c r="I24" s="4">
        <v>1</v>
      </c>
      <c r="J24" s="4"/>
      <c r="K24" s="4">
        <v>1</v>
      </c>
      <c r="L24" s="4">
        <v>1</v>
      </c>
      <c r="M24" s="4">
        <v>3</v>
      </c>
      <c r="S24" s="7" t="s">
        <v>127</v>
      </c>
      <c r="T24" s="4">
        <v>4</v>
      </c>
      <c r="U24" s="4"/>
      <c r="V24" s="4">
        <v>4</v>
      </c>
      <c r="W24" s="4">
        <v>5</v>
      </c>
      <c r="X24" s="4">
        <v>2</v>
      </c>
      <c r="Y24" s="4">
        <v>3</v>
      </c>
      <c r="Z24" s="4">
        <v>3</v>
      </c>
      <c r="AA24" s="4">
        <v>21</v>
      </c>
      <c r="AO24" s="7">
        <v>1</v>
      </c>
      <c r="AP24" s="8">
        <v>0.1</v>
      </c>
      <c r="AT24" s="7">
        <v>1</v>
      </c>
      <c r="AU24" s="4">
        <v>226</v>
      </c>
      <c r="AV24" s="4">
        <v>270</v>
      </c>
      <c r="BQ24" s="7" t="s">
        <v>23</v>
      </c>
      <c r="BR24" s="4">
        <v>78</v>
      </c>
      <c r="BS24">
        <v>3</v>
      </c>
      <c r="CH24" s="7" t="s">
        <v>100</v>
      </c>
      <c r="CI24" s="8">
        <v>0.28666666666666668</v>
      </c>
    </row>
    <row r="25" spans="1:87" x14ac:dyDescent="0.35">
      <c r="H25" s="14" t="s">
        <v>887</v>
      </c>
      <c r="I25" s="4">
        <v>11</v>
      </c>
      <c r="J25" s="4">
        <v>11</v>
      </c>
      <c r="K25" s="4">
        <v>19</v>
      </c>
      <c r="L25" s="4">
        <v>8</v>
      </c>
      <c r="M25" s="4">
        <v>49</v>
      </c>
      <c r="S25" s="7" t="s">
        <v>23</v>
      </c>
      <c r="T25" s="4">
        <v>6</v>
      </c>
      <c r="U25" s="4">
        <v>3</v>
      </c>
      <c r="V25" s="4">
        <v>2</v>
      </c>
      <c r="W25" s="4">
        <v>3</v>
      </c>
      <c r="X25" s="4">
        <v>2</v>
      </c>
      <c r="Y25" s="4">
        <v>3</v>
      </c>
      <c r="Z25" s="4">
        <v>7</v>
      </c>
      <c r="AA25" s="4">
        <v>26</v>
      </c>
      <c r="AI25" t="s">
        <v>897</v>
      </c>
      <c r="AO25" s="7">
        <v>2</v>
      </c>
      <c r="AP25" s="8">
        <v>9.3333333333333338E-2</v>
      </c>
      <c r="AT25" s="7">
        <v>2</v>
      </c>
      <c r="AU25" s="4">
        <v>298</v>
      </c>
      <c r="AV25" s="4">
        <v>273</v>
      </c>
      <c r="BQ25" s="7" t="s">
        <v>74</v>
      </c>
      <c r="BR25" s="4">
        <v>81</v>
      </c>
      <c r="BS25">
        <v>2.7</v>
      </c>
      <c r="CH25" s="7" t="s">
        <v>873</v>
      </c>
      <c r="CI25" s="8">
        <v>1</v>
      </c>
    </row>
    <row r="26" spans="1:87" x14ac:dyDescent="0.35">
      <c r="H26" s="14" t="s">
        <v>869</v>
      </c>
      <c r="I26" s="4">
        <v>2</v>
      </c>
      <c r="J26" s="4">
        <v>4</v>
      </c>
      <c r="K26" s="4">
        <v>1</v>
      </c>
      <c r="L26" s="4">
        <v>3</v>
      </c>
      <c r="M26" s="4">
        <v>10</v>
      </c>
      <c r="S26" s="7" t="s">
        <v>74</v>
      </c>
      <c r="T26" s="4">
        <v>2</v>
      </c>
      <c r="U26" s="4">
        <v>4</v>
      </c>
      <c r="V26" s="4">
        <v>8</v>
      </c>
      <c r="W26" s="4">
        <v>8</v>
      </c>
      <c r="X26" s="4">
        <v>1</v>
      </c>
      <c r="Y26" s="4">
        <v>2</v>
      </c>
      <c r="Z26" s="4">
        <v>5</v>
      </c>
      <c r="AA26" s="4">
        <v>30</v>
      </c>
      <c r="AI26" t="s">
        <v>891</v>
      </c>
      <c r="AJ26" t="s">
        <v>892</v>
      </c>
      <c r="AO26" s="7">
        <v>3</v>
      </c>
      <c r="AP26" s="8">
        <v>7.6666666666666661E-2</v>
      </c>
      <c r="AT26" s="7">
        <v>3</v>
      </c>
      <c r="AU26" s="4">
        <v>292</v>
      </c>
      <c r="AV26" s="4">
        <v>317</v>
      </c>
      <c r="BE26">
        <f>BG26</f>
        <v>0</v>
      </c>
      <c r="BQ26" s="7" t="s">
        <v>873</v>
      </c>
      <c r="BR26" s="4">
        <v>834</v>
      </c>
      <c r="BT26" t="s">
        <v>942</v>
      </c>
      <c r="CH26" s="10">
        <f>GETPIVOTDATA("Employee_ID",$CH$20,"Vaccination_Status","Fully vaccinated")</f>
        <v>0.24</v>
      </c>
    </row>
    <row r="27" spans="1:87" x14ac:dyDescent="0.35">
      <c r="H27" s="7" t="s">
        <v>65</v>
      </c>
      <c r="I27" s="4">
        <v>6</v>
      </c>
      <c r="J27" s="4">
        <v>16</v>
      </c>
      <c r="K27" s="4">
        <v>9</v>
      </c>
      <c r="L27" s="4">
        <v>6</v>
      </c>
      <c r="M27" s="4">
        <v>37</v>
      </c>
      <c r="S27" s="7" t="s">
        <v>873</v>
      </c>
      <c r="T27" s="4">
        <v>59</v>
      </c>
      <c r="U27" s="4">
        <v>18</v>
      </c>
      <c r="V27" s="4">
        <v>34</v>
      </c>
      <c r="W27" s="4">
        <v>57</v>
      </c>
      <c r="X27" s="4">
        <v>31</v>
      </c>
      <c r="Y27" s="4">
        <v>36</v>
      </c>
      <c r="Z27" s="4">
        <v>65</v>
      </c>
      <c r="AA27" s="4">
        <v>300</v>
      </c>
      <c r="AI27" s="4">
        <v>2917</v>
      </c>
      <c r="AJ27" s="4">
        <v>3021</v>
      </c>
      <c r="AO27" s="7">
        <v>4</v>
      </c>
      <c r="AP27" s="8">
        <v>8.3333333333333329E-2</v>
      </c>
      <c r="AT27" s="7">
        <v>4</v>
      </c>
      <c r="AU27" s="4">
        <v>319</v>
      </c>
      <c r="AV27" s="4">
        <v>296</v>
      </c>
    </row>
    <row r="28" spans="1:87" x14ac:dyDescent="0.35">
      <c r="H28" s="14" t="s">
        <v>885</v>
      </c>
      <c r="I28" s="4"/>
      <c r="J28" s="4">
        <v>1</v>
      </c>
      <c r="K28" s="4"/>
      <c r="L28" s="4">
        <v>1</v>
      </c>
      <c r="M28" s="4">
        <v>2</v>
      </c>
      <c r="AI28" t="s">
        <v>898</v>
      </c>
      <c r="AO28" s="7">
        <v>5</v>
      </c>
      <c r="AP28" s="8">
        <v>9.6666666666666665E-2</v>
      </c>
      <c r="AT28" s="7">
        <v>5</v>
      </c>
      <c r="AU28" s="4">
        <v>259</v>
      </c>
      <c r="AV28" s="4">
        <v>279</v>
      </c>
    </row>
    <row r="29" spans="1:87" x14ac:dyDescent="0.35">
      <c r="H29" s="14" t="s">
        <v>887</v>
      </c>
      <c r="I29" s="4">
        <v>4</v>
      </c>
      <c r="J29" s="4">
        <v>13</v>
      </c>
      <c r="K29" s="4">
        <v>7</v>
      </c>
      <c r="L29" s="4">
        <v>5</v>
      </c>
      <c r="M29" s="4">
        <v>29</v>
      </c>
      <c r="AI29" s="11"/>
      <c r="AO29" s="7">
        <v>6</v>
      </c>
      <c r="AP29" s="8">
        <v>0.1</v>
      </c>
      <c r="AT29" s="7">
        <v>6</v>
      </c>
      <c r="AU29" s="4">
        <v>263</v>
      </c>
      <c r="AV29" s="4">
        <v>271</v>
      </c>
    </row>
    <row r="30" spans="1:87" x14ac:dyDescent="0.35">
      <c r="H30" s="14" t="s">
        <v>869</v>
      </c>
      <c r="I30" s="4">
        <v>2</v>
      </c>
      <c r="J30" s="4">
        <v>2</v>
      </c>
      <c r="K30" s="4">
        <v>2</v>
      </c>
      <c r="L30" s="4"/>
      <c r="M30" s="4">
        <v>6</v>
      </c>
      <c r="AO30" s="7">
        <v>7</v>
      </c>
      <c r="AP30" s="8">
        <v>0.19</v>
      </c>
      <c r="AT30" s="7">
        <v>7</v>
      </c>
      <c r="AU30" s="4">
        <v>293</v>
      </c>
      <c r="AV30" s="4">
        <v>292</v>
      </c>
    </row>
    <row r="31" spans="1:87" x14ac:dyDescent="0.35">
      <c r="H31" s="7" t="s">
        <v>127</v>
      </c>
      <c r="I31" s="4">
        <v>3</v>
      </c>
      <c r="J31" s="4">
        <v>7</v>
      </c>
      <c r="K31" s="4">
        <v>7</v>
      </c>
      <c r="L31" s="4">
        <v>4</v>
      </c>
      <c r="M31" s="4">
        <v>21</v>
      </c>
      <c r="AO31" s="7" t="s">
        <v>873</v>
      </c>
      <c r="AP31" s="8">
        <v>1</v>
      </c>
      <c r="AT31" s="7">
        <v>8</v>
      </c>
      <c r="AU31" s="4">
        <v>422</v>
      </c>
      <c r="AV31" s="4">
        <v>492</v>
      </c>
    </row>
    <row r="32" spans="1:87" x14ac:dyDescent="0.35">
      <c r="H32" s="14" t="s">
        <v>885</v>
      </c>
      <c r="I32" s="4"/>
      <c r="J32" s="4"/>
      <c r="K32" s="4">
        <v>1</v>
      </c>
      <c r="L32" s="4">
        <v>2</v>
      </c>
      <c r="M32" s="4">
        <v>3</v>
      </c>
      <c r="AO32" s="12">
        <f>SUM(GETPIVOTDATA("Employee_ID",$AO$22,"Physical_Activity_Days_Per_Week",3),GETPIVOTDATA("Employee_ID",$AO$22,"Physical_Activity_Days_Per_Week",4),GETPIVOTDATA("Employee_ID",$AO$22,"Physical_Activity_Days_Per_Week",5),GETPIVOTDATA("Employee_ID",$AO$22,"Physical_Activity_Days_Per_Week",6),GETPIVOTDATA("Employee_ID",$AO$22,"Physical_Activity_Days_Per_Week",7))</f>
        <v>0.54666666666666663</v>
      </c>
      <c r="AP32" s="13" t="s">
        <v>903</v>
      </c>
      <c r="AQ32" s="13"/>
      <c r="AR32" s="13"/>
      <c r="AS32" s="13"/>
      <c r="AT32" s="7">
        <v>9</v>
      </c>
      <c r="AU32" s="4">
        <v>307</v>
      </c>
      <c r="AV32" s="4">
        <v>301</v>
      </c>
    </row>
    <row r="33" spans="8:48" x14ac:dyDescent="0.35">
      <c r="H33" s="14" t="s">
        <v>887</v>
      </c>
      <c r="I33" s="4">
        <v>3</v>
      </c>
      <c r="J33" s="4">
        <v>7</v>
      </c>
      <c r="K33" s="4">
        <v>5</v>
      </c>
      <c r="L33" s="4">
        <v>2</v>
      </c>
      <c r="M33" s="4">
        <v>17</v>
      </c>
      <c r="AT33" s="7">
        <v>10</v>
      </c>
      <c r="AU33" s="4">
        <v>167</v>
      </c>
      <c r="AV33" s="4">
        <v>179</v>
      </c>
    </row>
    <row r="34" spans="8:48" x14ac:dyDescent="0.35">
      <c r="H34" s="14" t="s">
        <v>869</v>
      </c>
      <c r="I34" s="4"/>
      <c r="J34" s="4"/>
      <c r="K34" s="4">
        <v>1</v>
      </c>
      <c r="L34" s="4"/>
      <c r="M34" s="4">
        <v>1</v>
      </c>
      <c r="AT34" s="7" t="s">
        <v>873</v>
      </c>
      <c r="AU34" s="4">
        <v>2917</v>
      </c>
      <c r="AV34" s="4">
        <v>3021</v>
      </c>
    </row>
    <row r="35" spans="8:48" x14ac:dyDescent="0.35">
      <c r="H35" s="7" t="s">
        <v>23</v>
      </c>
      <c r="I35" s="4">
        <v>2</v>
      </c>
      <c r="J35" s="4">
        <v>8</v>
      </c>
      <c r="K35" s="4">
        <v>8</v>
      </c>
      <c r="L35" s="4">
        <v>8</v>
      </c>
      <c r="M35" s="4">
        <v>26</v>
      </c>
    </row>
    <row r="36" spans="8:48" x14ac:dyDescent="0.35">
      <c r="H36" s="14" t="s">
        <v>885</v>
      </c>
      <c r="I36" s="4"/>
      <c r="J36" s="4"/>
      <c r="K36" s="4">
        <v>1</v>
      </c>
      <c r="L36" s="4"/>
      <c r="M36" s="4">
        <v>1</v>
      </c>
    </row>
    <row r="37" spans="8:48" x14ac:dyDescent="0.35">
      <c r="H37" s="14" t="s">
        <v>887</v>
      </c>
      <c r="I37" s="4">
        <v>2</v>
      </c>
      <c r="J37" s="4">
        <v>7</v>
      </c>
      <c r="K37" s="4">
        <v>6</v>
      </c>
      <c r="L37" s="4">
        <v>6</v>
      </c>
      <c r="M37" s="4">
        <v>21</v>
      </c>
    </row>
    <row r="38" spans="8:48" x14ac:dyDescent="0.35">
      <c r="H38" s="14" t="s">
        <v>869</v>
      </c>
      <c r="I38" s="4"/>
      <c r="J38" s="4">
        <v>1</v>
      </c>
      <c r="K38" s="4">
        <v>1</v>
      </c>
      <c r="L38" s="4">
        <v>2</v>
      </c>
      <c r="M38" s="4">
        <v>4</v>
      </c>
    </row>
    <row r="39" spans="8:48" x14ac:dyDescent="0.35">
      <c r="H39" s="7" t="s">
        <v>74</v>
      </c>
      <c r="I39" s="4">
        <v>9</v>
      </c>
      <c r="J39" s="4">
        <v>10</v>
      </c>
      <c r="K39" s="4">
        <v>5</v>
      </c>
      <c r="L39" s="4">
        <v>6</v>
      </c>
      <c r="M39" s="4">
        <v>30</v>
      </c>
    </row>
    <row r="40" spans="8:48" x14ac:dyDescent="0.35">
      <c r="H40" s="14" t="s">
        <v>885</v>
      </c>
      <c r="I40" s="4"/>
      <c r="J40" s="4"/>
      <c r="K40" s="4"/>
      <c r="L40" s="4">
        <v>1</v>
      </c>
      <c r="M40" s="4">
        <v>1</v>
      </c>
    </row>
    <row r="41" spans="8:48" x14ac:dyDescent="0.35">
      <c r="H41" s="14" t="s">
        <v>887</v>
      </c>
      <c r="I41" s="4">
        <v>8</v>
      </c>
      <c r="J41" s="4">
        <v>9</v>
      </c>
      <c r="K41" s="4">
        <v>5</v>
      </c>
      <c r="L41" s="4">
        <v>4</v>
      </c>
      <c r="M41" s="4">
        <v>26</v>
      </c>
    </row>
    <row r="42" spans="8:48" x14ac:dyDescent="0.35">
      <c r="H42" s="14" t="s">
        <v>869</v>
      </c>
      <c r="I42" s="4">
        <v>1</v>
      </c>
      <c r="J42" s="4">
        <v>1</v>
      </c>
      <c r="K42" s="4"/>
      <c r="L42" s="4">
        <v>1</v>
      </c>
      <c r="M42" s="4">
        <v>3</v>
      </c>
    </row>
    <row r="43" spans="8:48" x14ac:dyDescent="0.35">
      <c r="H43" s="7" t="s">
        <v>873</v>
      </c>
      <c r="I43" s="4">
        <v>63</v>
      </c>
      <c r="J43" s="4">
        <v>92</v>
      </c>
      <c r="K43" s="4">
        <v>74</v>
      </c>
      <c r="L43" s="4">
        <v>71</v>
      </c>
      <c r="M43" s="4">
        <v>300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FC108-2046-4A6B-BC6C-3A252DF48A05}">
  <dimension ref="AH31:AS31"/>
  <sheetViews>
    <sheetView showGridLines="0" tabSelected="1" topLeftCell="A2" zoomScale="50" zoomScaleNormal="50" workbookViewId="0">
      <selection activeCell="AA5" sqref="AA5"/>
    </sheetView>
  </sheetViews>
  <sheetFormatPr defaultRowHeight="13" x14ac:dyDescent="0.3"/>
  <cols>
    <col min="1" max="43" width="8.7265625" style="16"/>
    <col min="44" max="44" width="2.7265625" style="16" customWidth="1"/>
    <col min="45" max="45" width="3.54296875" style="16" hidden="1" customWidth="1"/>
    <col min="46" max="16384" width="8.7265625" style="16"/>
  </cols>
  <sheetData>
    <row r="31" spans="34:34" x14ac:dyDescent="0.3">
      <c r="AH31" s="16" t="s">
        <v>940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1A94CD-0F74-42B3-9A07-012050CE7B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Raw_Health_Data</vt:lpstr>
      <vt:lpstr>cleaned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christabel bamai</cp:lastModifiedBy>
  <cp:revision>0</cp:revision>
  <dcterms:created xsi:type="dcterms:W3CDTF">2026-05-01T19:49:22Z</dcterms:created>
  <dcterms:modified xsi:type="dcterms:W3CDTF">2026-07-02T20:45:52Z</dcterms:modified>
  <dc:language>en-US</dc:language>
</cp:coreProperties>
</file>